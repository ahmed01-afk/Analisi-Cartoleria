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B8DB7B91-3736-4317-A1A0-E64B6786A938}" xr6:coauthVersionLast="47" xr6:coauthVersionMax="47" xr10:uidLastSave="{00000000-0000-0000-0000-000000000000}"/>
  <bookViews>
    <workbookView xWindow="-108" yWindow="-108" windowWidth="23256" windowHeight="12456" activeTab="1" xr2:uid="{00000000-000D-0000-FFFF-FFFF00000000}"/>
  </bookViews>
  <sheets>
    <sheet name="pivot" sheetId="17" r:id="rId1"/>
    <sheet name="dashboard" sheetId="18" r:id="rId2"/>
    <sheet name="22-24" sheetId="16" r:id="rId3"/>
  </sheets>
  <definedNames>
    <definedName name="_xlnm._FilterDatabase" localSheetId="2" hidden="1">'22-24'!$A$3:$D$40</definedName>
    <definedName name="_xlnm.Criteria" localSheetId="2">'22-24'!$A$45:$D$47</definedName>
    <definedName name="_xlnm.Extract" localSheetId="2">'22-24'!$A$50:$D$50</definedName>
    <definedName name="Slicer_Articolo">#N/A</definedName>
    <definedName name="Slicer_Years__Data">#N/A</definedName>
  </definedNames>
  <calcPr calcId="191029"/>
  <pivotCaches>
    <pivotCache cacheId="15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<sst xmlns="http://schemas.openxmlformats.org/spreadsheetml/2006/main" count="490" uniqueCount="24">
  <si>
    <t>Cartoleria Alfa</t>
  </si>
  <si>
    <t>Articolo</t>
  </si>
  <si>
    <t>Importo</t>
  </si>
  <si>
    <t>Penne a sfera</t>
  </si>
  <si>
    <t>Matite</t>
  </si>
  <si>
    <t>Gomme</t>
  </si>
  <si>
    <t>Evidenziatori</t>
  </si>
  <si>
    <t>Bianchetti</t>
  </si>
  <si>
    <t>Carta colorata</t>
  </si>
  <si>
    <t>Rossi</t>
  </si>
  <si>
    <t>Verdi</t>
  </si>
  <si>
    <t>Venditore</t>
  </si>
  <si>
    <t>Data</t>
  </si>
  <si>
    <t>Bianchi</t>
  </si>
  <si>
    <t>Neri</t>
  </si>
  <si>
    <t>Azzurri</t>
  </si>
  <si>
    <t>Grisi</t>
  </si>
  <si>
    <t>Row Labels</t>
  </si>
  <si>
    <t>Grand Total</t>
  </si>
  <si>
    <t>Sum of Importo</t>
  </si>
  <si>
    <t>2022</t>
  </si>
  <si>
    <t>2023</t>
  </si>
  <si>
    <t>2024</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</si>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</sst>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0.00\ &quot;€&quot;_-;\-* #,##0.00\ &quot;€&quot;_-;_-* &quot;-&quot;??\ &quot;€&quot;_-;_-@_-"/>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00B0F0"/>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4" fontId="0" fillId="0" borderId="0" xfId="0" applyNumberFormat="1"/>
    <xf numFmtId="0" fontId="0" fillId="0" borderId="4" xfId="0" applyBorder="1"/>
    <xf numFmtId="14" fontId="0" fillId="0" borderId="4" xfId="0" applyNumberForma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 xfId="0" applyBorder="1"/>
    <xf numFmtId="44" fontId="0" fillId="0" borderId="6" xfId="1" applyFont="1" applyBorder="1"/>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0" fillId="0" borderId="10" xfId="0" applyBorder="1"/>
    <xf numFmtId="0" fontId="0" fillId="0" borderId="11" xfId="0" applyBorder="1"/>
    <xf numFmtId="14" fontId="0" fillId="0" borderId="11" xfId="0" applyNumberFormat="1" applyBorder="1"/>
    <xf numFmtId="44" fontId="0" fillId="0" borderId="12" xfId="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0" fillId="3" borderId="0" xfId="0" applyFont="1" applyFill="1"/>
    <xf numFmtId="10" fontId="0" fillId="0" borderId="0" xfId="0" applyNumberFormat="1"/>
    <xf numFmtId="0" fontId="0" fillId="3" borderId="0" xfId="0" applyFont="1" applyFill="1" applyAlignment="1">
      <alignment vertical="center"/>
    </xf>
  </cellXfs>
  <cellStyles count="2">
    <cellStyle name="Currency" xfId="1" builtinId="4"/>
    <cellStyle name="Normal" xfId="0" builtinId="0"/>
  </cellStyles>
  <dxfs count="9">
    <dxf>
      <font>
        <b/>
        <color theme="1"/>
      </font>
      <border>
        <bottom style="thin">
          <color theme="4"/>
        </bottom>
        <vertical/>
        <horizontal/>
      </border>
    </dxf>
    <dxf>
      <font>
        <color theme="1"/>
      </font>
      <fill>
        <patternFill>
          <bgColor rgb="FF00B0F0"/>
        </patternFill>
      </fill>
      <border>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1" defaultTableStyle="TableStyleMedium2" defaultPivotStyle="PivotStyleLight16">
    <tableStyle name="filtro dash" pivot="0" table="0" count="10" xr9:uid="{E5650730-D576-45BF-9FF3-7790AE67F491}">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iltro dash">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[dashboard_pre.xlsx]pivot!PivotTable5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solidFill>
              <a:schemeClr val="accent1"/>
            </a:solidFill>
            <a:ln>
              <a:noFill/>
            </a:ln>
            <a:effectLst/>
          </c:spPr>
          <c:invertIfNegative val="0"/>
          <c:cat>
            <c:multiLvlStrRef>
              <c:f>pivot!$A$2:$A$44</c:f>
              <c:multiLvlStrCache>
                <c:ptCount val="36"/>
                <c:lvl>
                  <c:pt idx="0">
                    <c:v>Azzurri</c:v>
                  </c:pt>
                  <c:pt idx="1">
                    <c:v>Bianchi</c:v>
                  </c:pt>
                  <c:pt idx="2">
                    <c:v>Grisi</c:v>
                  </c:pt>
                  <c:pt idx="3">
                    <c:v>Neri</c:v>
                  </c:pt>
                  <c:pt idx="4">
                    <c:v>Rossi</c:v>
                  </c:pt>
                  <c:pt idx="5">
                    <c:v>Verdi</c:v>
                  </c:pt>
                  <c:pt idx="6">
                    <c:v>Azzurri</c:v>
                  </c:pt>
                  <c:pt idx="7">
                    <c:v>Bianchi</c:v>
                  </c:pt>
                  <c:pt idx="8">
                    <c:v>Grisi</c:v>
                  </c:pt>
                  <c:pt idx="9">
                    <c:v>Neri</c:v>
                  </c:pt>
                  <c:pt idx="10">
                    <c:v>Rossi</c:v>
                  </c:pt>
                  <c:pt idx="11">
                    <c:v>Verdi</c:v>
                  </c:pt>
                  <c:pt idx="12">
                    <c:v>Azzurri</c:v>
                  </c:pt>
                  <c:pt idx="13">
                    <c:v>Bianchi</c:v>
                  </c:pt>
                  <c:pt idx="14">
                    <c:v>Grisi</c:v>
                  </c:pt>
                  <c:pt idx="15">
                    <c:v>Neri</c:v>
                  </c:pt>
                  <c:pt idx="16">
                    <c:v>Rossi</c:v>
                  </c:pt>
                  <c:pt idx="17">
                    <c:v>Verdi</c:v>
                  </c:pt>
                  <c:pt idx="18">
                    <c:v>Azzurri</c:v>
                  </c:pt>
                  <c:pt idx="19">
                    <c:v>Bianchi</c:v>
                  </c:pt>
                  <c:pt idx="20">
                    <c:v>Grisi</c:v>
                  </c:pt>
                  <c:pt idx="21">
                    <c:v>Neri</c:v>
                  </c:pt>
                  <c:pt idx="22">
                    <c:v>Rossi</c:v>
                  </c:pt>
                  <c:pt idx="23">
                    <c:v>Verdi</c:v>
                  </c:pt>
                  <c:pt idx="24">
                    <c:v>Azzurri</c:v>
                  </c:pt>
                  <c:pt idx="25">
                    <c:v>Bianchi</c:v>
                  </c:pt>
                  <c:pt idx="26">
                    <c:v>Grisi</c:v>
                  </c:pt>
                  <c:pt idx="27">
                    <c:v>Neri</c:v>
                  </c:pt>
                  <c:pt idx="28">
                    <c:v>Rossi</c:v>
                  </c:pt>
                  <c:pt idx="29">
                    <c:v>Verdi</c:v>
                  </c:pt>
                  <c:pt idx="30">
                    <c:v>Azzurri</c:v>
                  </c:pt>
                  <c:pt idx="31">
                    <c:v>Bianchi</c:v>
                  </c:pt>
                  <c:pt idx="32">
                    <c:v>Grisi</c:v>
                  </c:pt>
                  <c:pt idx="33">
                    <c:v>Neri</c:v>
                  </c:pt>
                  <c:pt idx="34">
                    <c:v>Rossi</c:v>
                  </c:pt>
                  <c:pt idx="35">
                    <c:v>Verdi</c:v>
                  </c:pt>
                </c:lvl>
                <c:lvl>
                  <c:pt idx="0">
                    <c:v>Bianchetti</c:v>
                  </c:pt>
                  <c:pt idx="6">
                    <c:v>Carta colorata</c:v>
                  </c:pt>
                  <c:pt idx="12">
                    <c:v>Evidenziatori</c:v>
                  </c:pt>
                  <c:pt idx="18">
                    <c:v>Gomme</c:v>
                  </c:pt>
                  <c:pt idx="24">
                    <c:v>Matite</c:v>
                  </c:pt>
                  <c:pt idx="30">
                    <c:v>Penne a sfera</c:v>
                  </c:pt>
                </c:lvl>
              </c:multiLvlStrCache>
            </c:multiLvlStrRef>
          </c:cat>
          <c:val>
            <c:numRef>
              <c:f>pivot!$B$2:$B$44</c:f>
              <c:numCache>
                <c:formatCode>_("€"* #,##0.00_);_("€"* \(#,##0.00\);_("€"* "-"??_);_(@_)</c:formatCode>
                <c:ptCount val="36"/>
                <c:pt idx="0">
                  <c:v>5703.92</c:v>
                </c:pt>
                <c:pt idx="1">
                  <c:v>2225.7800000000002</c:v>
                </c:pt>
                <c:pt idx="2">
                  <c:v>3706.81</c:v>
                </c:pt>
                <c:pt idx="3">
                  <c:v>1731.82</c:v>
                </c:pt>
                <c:pt idx="4">
                  <c:v>3945.19</c:v>
                </c:pt>
                <c:pt idx="5">
                  <c:v>306.56</c:v>
                </c:pt>
                <c:pt idx="6">
                  <c:v>1205.5500000000002</c:v>
                </c:pt>
                <c:pt idx="7">
                  <c:v>1236.46</c:v>
                </c:pt>
                <c:pt idx="8">
                  <c:v>3275.1000000000004</c:v>
                </c:pt>
                <c:pt idx="9">
                  <c:v>2264.6</c:v>
                </c:pt>
                <c:pt idx="10">
                  <c:v>1680.79</c:v>
                </c:pt>
                <c:pt idx="11">
                  <c:v>1870.71</c:v>
                </c:pt>
                <c:pt idx="12">
                  <c:v>1636.3100000000002</c:v>
                </c:pt>
                <c:pt idx="13">
                  <c:v>3498.46</c:v>
                </c:pt>
                <c:pt idx="14">
                  <c:v>1542.46</c:v>
                </c:pt>
                <c:pt idx="15">
                  <c:v>3180.4199999999996</c:v>
                </c:pt>
                <c:pt idx="16">
                  <c:v>1640.19</c:v>
                </c:pt>
                <c:pt idx="17">
                  <c:v>2762.6100000000006</c:v>
                </c:pt>
                <c:pt idx="18">
                  <c:v>5657.4800000000005</c:v>
                </c:pt>
                <c:pt idx="19">
                  <c:v>1386.3500000000001</c:v>
                </c:pt>
                <c:pt idx="20">
                  <c:v>3870.0499999999993</c:v>
                </c:pt>
                <c:pt idx="21">
                  <c:v>3198.02</c:v>
                </c:pt>
                <c:pt idx="22">
                  <c:v>1030.78</c:v>
                </c:pt>
                <c:pt idx="23">
                  <c:v>1751.46</c:v>
                </c:pt>
                <c:pt idx="24">
                  <c:v>3844.1100000000006</c:v>
                </c:pt>
                <c:pt idx="25">
                  <c:v>2394.48</c:v>
                </c:pt>
                <c:pt idx="26">
                  <c:v>3928.3199999999997</c:v>
                </c:pt>
                <c:pt idx="27">
                  <c:v>3844.97</c:v>
                </c:pt>
                <c:pt idx="28">
                  <c:v>2000.27</c:v>
                </c:pt>
                <c:pt idx="29">
                  <c:v>2773.3399999999997</c:v>
                </c:pt>
                <c:pt idx="30">
                  <c:v>6636.9900000000007</c:v>
                </c:pt>
                <c:pt idx="31">
                  <c:v>4855.6899999999996</c:v>
                </c:pt>
                <c:pt idx="32">
                  <c:v>1322.6799999999998</c:v>
                </c:pt>
                <c:pt idx="33">
                  <c:v>1400.87</c:v>
                </c:pt>
                <c:pt idx="34">
                  <c:v>3716.1600000000003</c:v>
                </c:pt>
                <c:pt idx="35">
                  <c:v>2275.42</c:v>
                </c:pt>
              </c:numCache>
            </c:numRef>
          </c:val>
          <c:extLst>
            <c:ext xmlns:c16="http://schemas.microsoft.com/office/drawing/2014/chart" uri="{C3380CC4-5D6E-409C-BE32-E72D297353CC}">
              <c16:uniqueId val="{00000000-6E26-467E-864C-B8DF31E804B8}"/>
            </c:ext>
          </c:extLst>
        </c:ser>
        <c:dLbls>
          <c:showLegendKey val="0"/>
          <c:showVal val="0"/>
          <c:showCatName val="0"/>
          <c:showSerName val="0"/>
          <c:showPercent val="0"/>
          <c:showBubbleSize val="0"/>
        </c:dLbls>
        <c:gapWidth val="50"/>
        <c:axId val="1360832351"/>
        <c:axId val="1686458719"/>
      </c:barChart>
      <c:catAx>
        <c:axId val="1360832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58719"/>
        <c:crosses val="autoZero"/>
        <c:auto val="1"/>
        <c:lblAlgn val="ctr"/>
        <c:lblOffset val="100"/>
        <c:noMultiLvlLbl val="0"/>
      </c:catAx>
      <c:valAx>
        <c:axId val="1686458719"/>
        <c:scaling>
          <c:orientation val="minMax"/>
        </c:scaling>
        <c:delete val="0"/>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[dashboard_pre.xlsx]pivot!PivotTable6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8A-4D1B-93E8-C91CD59189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8A-4D1B-93E8-C91CD59189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8A-4D1B-93E8-C91CD59189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8A-4D1B-93E8-C91CD59189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8A-4D1B-93E8-C91CD59189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8A-4D1B-93E8-C91CD59189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pivot!$F$2:$F$8</c:f>
              <c:strCache>
                <c:ptCount val="6"/>
                <c:pt idx="0">
                  <c:v>Bianchetti</c:v>
                </c:pt>
                <c:pt idx="1">
                  <c:v>Carta colorata</c:v>
                </c:pt>
                <c:pt idx="2">
                  <c:v>Evidenziatori</c:v>
                </c:pt>
                <c:pt idx="3">
                  <c:v>Gomme</c:v>
                </c:pt>
                <c:pt idx="4">
                  <c:v>Matite</c:v>
                </c:pt>
                <c:pt idx="5">
                  <c:v>Penne a sfera</c:v>
                </c:pt>
              </c:strCache>
            </c:strRef>
          </c:cat>
          <c:val>
            <c:numRef>
              <c:f>pivot!$G$2:$G$8</c:f>
              <c:numCache>
                <c:formatCode>0.00%</c:formatCode>
                <c:ptCount val="6"/>
                <c:pt idx="0">
                  <c:v>0.17744079174084335</c:v>
                </c:pt>
                <c:pt idx="1">
                  <c:v>0.11614373565349374</c:v>
                </c:pt>
                <c:pt idx="2">
                  <c:v>0.1436080618578752</c:v>
                </c:pt>
                <c:pt idx="3">
                  <c:v>0.17013030459456777</c:v>
                </c:pt>
                <c:pt idx="4">
                  <c:v>0.18917690605489279</c:v>
                </c:pt>
                <c:pt idx="5">
                  <c:v>0.20350020009832714</c:v>
                </c:pt>
              </c:numCache>
            </c:numRef>
          </c:val>
          <c:extLst>
            <c:ext xmlns:c16="http://schemas.microsoft.com/office/drawing/2014/chart" uri="{C3380CC4-5D6E-409C-BE32-E72D297353CC}">
              <c16:uniqueId val="{0000000C-788A-4D1B-93E8-C91CD5918923}"/>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[dashboard_pre.xlsx]pivot!PivotTable7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pivot!$G$12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C8-45B3-BEBD-1D7A35838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C8-45B3-BEBD-1D7A35838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C8-45B3-BEBD-1D7A35838E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C8-45B3-BEBD-1D7A35838E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C8-45B3-BEBD-1D7A35838E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9C8-45B3-BEBD-1D7A35838E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pivot!$F$13:$F$19</c:f>
              <c:strCache>
                <c:ptCount val="6"/>
                <c:pt idx="0">
                  <c:v>Azzurri</c:v>
                </c:pt>
                <c:pt idx="1">
                  <c:v>Bianchi</c:v>
                </c:pt>
                <c:pt idx="2">
                  <c:v>Grisi</c:v>
                </c:pt>
                <c:pt idx="3">
                  <c:v>Neri</c:v>
                </c:pt>
                <c:pt idx="4">
                  <c:v>Rossi</c:v>
                </c:pt>
                <c:pt idx="5">
                  <c:v>Verdi</c:v>
                </c:pt>
              </c:strCache>
            </c:strRef>
          </c:cat>
          <c:val>
            <c:numRef>
              <c:f>pivot!$G$13:$G$19</c:f>
              <c:numCache>
                <c:formatCode>0.00%</c:formatCode>
                <c:ptCount val="6"/>
                <c:pt idx="0">
                  <c:v>0.24858073187045712</c:v>
                </c:pt>
                <c:pt idx="1">
                  <c:v>0.15706983542390934</c:v>
                </c:pt>
                <c:pt idx="2">
                  <c:v>0.17769597501258289</c:v>
                </c:pt>
                <c:pt idx="3">
                  <c:v>0.15730628780040676</c:v>
                </c:pt>
                <c:pt idx="4">
                  <c:v>0.14111997460654552</c:v>
                </c:pt>
                <c:pt idx="5">
                  <c:v>0.1182271952860983</c:v>
                </c:pt>
              </c:numCache>
            </c:numRef>
          </c:val>
          <c:extLst>
            <c:ext xmlns:c16="http://schemas.microsoft.com/office/drawing/2014/chart" uri="{C3380CC4-5D6E-409C-BE32-E72D297353CC}">
              <c16:uniqueId val="{0000000C-89C8-45B3-BEBD-1D7A35838ECF}"/>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[dashboard_pre.xlsx]pivot!PivotTable8</c:name>
    <c:fmtId val="1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pivot!$K$1:$K$2</c:f>
              <c:strCache>
                <c:ptCount val="1"/>
                <c:pt idx="0">
                  <c:v>Bianchetti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pivot!$J$3:$J$6</c:f>
              <c:strCache>
                <c:ptCount val="3"/>
                <c:pt idx="0">
                  <c:v>2022</c:v>
                </c:pt>
                <c:pt idx="1">
                  <c:v>2023</c:v>
                </c:pt>
                <c:pt idx="2">
                  <c:v>2024</c:v>
                </c:pt>
              </c:strCache>
            </c:strRef>
          </c:cat>
          <c:val>
            <c:numRef>
              <c:f>pivot!$K$3:$K$6</c:f>
              <c:numCache>
                <c:formatCode>_("€"* #,##0.00_);_("€"* \(#,##0.00\);_("€"* "-"??_);_(@_)</c:formatCode>
                <c:ptCount val="3"/>
                <c:pt idx="0">
                  <c:v>7823.6200000000008</c:v>
                </c:pt>
                <c:pt idx="1">
                  <c:v>5074.4900000000007</c:v>
                </c:pt>
                <c:pt idx="2">
                  <c:v>4721.9700000000012</c:v>
                </c:pt>
              </c:numCache>
            </c:numRef>
          </c:val>
          <c:smooth val="0"/>
          <c:extLst>
            <c:ext xmlns:c16="http://schemas.microsoft.com/office/drawing/2014/chart" uri="{C3380CC4-5D6E-409C-BE32-E72D297353CC}">
              <c16:uniqueId val="{00000000-5839-468B-AB2B-EFA712D8AA61}"/>
            </c:ext>
          </c:extLst>
        </c:ser>
        <c:ser>
          <c:idx val="1"/>
          <c:order val="1"/>
          <c:tx>
            <c:strRef>
              <c:f>pivot!$L$1:$L$2</c:f>
              <c:strCache>
                <c:ptCount val="1"/>
                <c:pt idx="0">
                  <c:v>Carta colorata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pivot!$J$3:$J$6</c:f>
              <c:strCache>
                <c:ptCount val="3"/>
                <c:pt idx="0">
                  <c:v>2022</c:v>
                </c:pt>
                <c:pt idx="1">
                  <c:v>2023</c:v>
                </c:pt>
                <c:pt idx="2">
                  <c:v>2024</c:v>
                </c:pt>
              </c:strCache>
            </c:strRef>
          </c:cat>
          <c:val>
            <c:numRef>
              <c:f>pivot!$L$3:$L$6</c:f>
              <c:numCache>
                <c:formatCode>_("€"* #,##0.00_);_("€"* \(#,##0.00\);_("€"* "-"??_);_(@_)</c:formatCode>
                <c:ptCount val="3"/>
                <c:pt idx="0">
                  <c:v>6069.17</c:v>
                </c:pt>
                <c:pt idx="1">
                  <c:v>2311.64</c:v>
                </c:pt>
                <c:pt idx="2">
                  <c:v>3152.3999999999996</c:v>
                </c:pt>
              </c:numCache>
            </c:numRef>
          </c:val>
          <c:smooth val="0"/>
          <c:extLst>
            <c:ext xmlns:c16="http://schemas.microsoft.com/office/drawing/2014/chart" uri="{C3380CC4-5D6E-409C-BE32-E72D297353CC}">
              <c16:uniqueId val="{00000007-5839-468B-AB2B-EFA712D8AA61}"/>
            </c:ext>
          </c:extLst>
        </c:ser>
        <c:ser>
          <c:idx val="2"/>
          <c:order val="2"/>
          <c:tx>
            <c:strRef>
              <c:f>pivot!$M$1:$M$2</c:f>
              <c:strCache>
                <c:ptCount val="1"/>
                <c:pt idx="0">
                  <c:v>Evidenziatori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pivot!$J$3:$J$6</c:f>
              <c:strCache>
                <c:ptCount val="3"/>
                <c:pt idx="0">
                  <c:v>2022</c:v>
                </c:pt>
                <c:pt idx="1">
                  <c:v>2023</c:v>
                </c:pt>
                <c:pt idx="2">
                  <c:v>2024</c:v>
                </c:pt>
              </c:strCache>
            </c:strRef>
          </c:cat>
          <c:val>
            <c:numRef>
              <c:f>pivot!$M$3:$M$6</c:f>
              <c:numCache>
                <c:formatCode>_("€"* #,##0.00_);_("€"* \(#,##0.00\);_("€"* "-"??_);_(@_)</c:formatCode>
                <c:ptCount val="3"/>
                <c:pt idx="0">
                  <c:v>1963.7</c:v>
                </c:pt>
                <c:pt idx="1">
                  <c:v>6833.97</c:v>
                </c:pt>
                <c:pt idx="2">
                  <c:v>5462.7800000000007</c:v>
                </c:pt>
              </c:numCache>
            </c:numRef>
          </c:val>
          <c:smooth val="0"/>
          <c:extLst>
            <c:ext xmlns:c16="http://schemas.microsoft.com/office/drawing/2014/chart" uri="{C3380CC4-5D6E-409C-BE32-E72D297353CC}">
              <c16:uniqueId val="{00000008-5839-468B-AB2B-EFA712D8AA61}"/>
            </c:ext>
          </c:extLst>
        </c:ser>
        <c:ser>
          <c:idx val="3"/>
          <c:order val="3"/>
          <c:tx>
            <c:strRef>
              <c:f>pivot!$N$1:$N$2</c:f>
              <c:strCache>
                <c:ptCount val="1"/>
                <c:pt idx="0">
                  <c:v>Gomme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pivot!$J$3:$J$6</c:f>
              <c:strCache>
                <c:ptCount val="3"/>
                <c:pt idx="0">
                  <c:v>2022</c:v>
                </c:pt>
                <c:pt idx="1">
                  <c:v>2023</c:v>
                </c:pt>
                <c:pt idx="2">
                  <c:v>2024</c:v>
                </c:pt>
              </c:strCache>
            </c:strRef>
          </c:cat>
          <c:val>
            <c:numRef>
              <c:f>pivot!$N$3:$N$6</c:f>
              <c:numCache>
                <c:formatCode>_("€"* #,##0.00_);_("€"* \(#,##0.00\);_("€"* "-"??_);_(@_)</c:formatCode>
                <c:ptCount val="3"/>
                <c:pt idx="0">
                  <c:v>7185.7099999999982</c:v>
                </c:pt>
                <c:pt idx="1">
                  <c:v>5432.1399999999994</c:v>
                </c:pt>
                <c:pt idx="2">
                  <c:v>4276.29</c:v>
                </c:pt>
              </c:numCache>
            </c:numRef>
          </c:val>
          <c:smooth val="0"/>
          <c:extLst>
            <c:ext xmlns:c16="http://schemas.microsoft.com/office/drawing/2014/chart" uri="{C3380CC4-5D6E-409C-BE32-E72D297353CC}">
              <c16:uniqueId val="{00000009-5839-468B-AB2B-EFA712D8AA61}"/>
            </c:ext>
          </c:extLst>
        </c:ser>
        <c:ser>
          <c:idx val="4"/>
          <c:order val="4"/>
          <c:tx>
            <c:strRef>
              <c:f>pivot!$O$1:$O$2</c:f>
              <c:strCache>
                <c:ptCount val="1"/>
                <c:pt idx="0">
                  <c:v>Matite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pivot!$J$3:$J$6</c:f>
              <c:strCache>
                <c:ptCount val="3"/>
                <c:pt idx="0">
                  <c:v>2022</c:v>
                </c:pt>
                <c:pt idx="1">
                  <c:v>2023</c:v>
                </c:pt>
                <c:pt idx="2">
                  <c:v>2024</c:v>
                </c:pt>
              </c:strCache>
            </c:strRef>
          </c:cat>
          <c:val>
            <c:numRef>
              <c:f>pivot!$O$3:$O$6</c:f>
              <c:numCache>
                <c:formatCode>_("€"* #,##0.00_);_("€"* \(#,##0.00\);_("€"* "-"??_);_(@_)</c:formatCode>
                <c:ptCount val="3"/>
                <c:pt idx="0">
                  <c:v>8012.2600000000011</c:v>
                </c:pt>
                <c:pt idx="1">
                  <c:v>4239.8300000000008</c:v>
                </c:pt>
                <c:pt idx="2">
                  <c:v>6533.4000000000005</c:v>
                </c:pt>
              </c:numCache>
            </c:numRef>
          </c:val>
          <c:smooth val="0"/>
          <c:extLst>
            <c:ext xmlns:c16="http://schemas.microsoft.com/office/drawing/2014/chart" uri="{C3380CC4-5D6E-409C-BE32-E72D297353CC}">
              <c16:uniqueId val="{0000000A-5839-468B-AB2B-EFA712D8AA61}"/>
            </c:ext>
          </c:extLst>
        </c:ser>
        <c:ser>
          <c:idx val="5"/>
          <c:order val="5"/>
          <c:tx>
            <c:strRef>
              <c:f>pivot!$P$1:$P$2</c:f>
              <c:strCache>
                <c:ptCount val="1"/>
                <c:pt idx="0">
                  <c:v>Penne a sfera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pivot!$J$3:$J$6</c:f>
              <c:strCache>
                <c:ptCount val="3"/>
                <c:pt idx="0">
                  <c:v>2022</c:v>
                </c:pt>
                <c:pt idx="1">
                  <c:v>2023</c:v>
                </c:pt>
                <c:pt idx="2">
                  <c:v>2024</c:v>
                </c:pt>
              </c:strCache>
            </c:strRef>
          </c:cat>
          <c:val>
            <c:numRef>
              <c:f>pivot!$P$3:$P$6</c:f>
              <c:numCache>
                <c:formatCode>_("€"* #,##0.00_);_("€"* \(#,##0.00\);_("€"* "-"??_);_(@_)</c:formatCode>
                <c:ptCount val="3"/>
                <c:pt idx="0">
                  <c:v>4858.7499999999991</c:v>
                </c:pt>
                <c:pt idx="1">
                  <c:v>6567.84</c:v>
                </c:pt>
                <c:pt idx="2">
                  <c:v>8781.2200000000012</c:v>
                </c:pt>
              </c:numCache>
            </c:numRef>
          </c:val>
          <c:smooth val="0"/>
          <c:extLst>
            <c:ext xmlns:c16="http://schemas.microsoft.com/office/drawing/2014/chart" uri="{C3380CC4-5D6E-409C-BE32-E72D297353CC}">
              <c16:uniqueId val="{0000000B-5839-468B-AB2B-EFA712D8AA61}"/>
            </c:ext>
          </c:extLst>
        </c:ser>
        <c:dLbls>
          <c:showLegendKey val="0"/>
          <c:showVal val="0"/>
          <c:showCatName val="0"/>
          <c:showSerName val="0"/>
          <c:showPercent val="0"/>
          <c:showBubbleSize val="0"/>
        </c:dLbls>
        <c:marker val="1"/>
        <c:smooth val="0"/>
        <c:axId val="1396992095"/>
        <c:axId val="1361597311"/>
      </c:lineChart>
      <c:catAx>
        <c:axId val="139699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97311"/>
        <c:crosses val="autoZero"/>
        <c:auto val="1"/>
        <c:lblAlgn val="ctr"/>
        <c:lblOffset val="100"/>
        <c:noMultiLvlLbl val="0"/>
      </c:catAx>
      <c:valAx>
        <c:axId val="1361597311"/>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920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[dashboard_pre.xlsx]pivot!PivotTable9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pivot!$K$9:$K$10</c:f>
              <c:strCache>
                <c:ptCount val="1"/>
                <c:pt idx="0">
                  <c:v>Azzurri</c:v>
                </c:pt>
              </c:strCache>
            </c:strRef>
          </c:tx>
          <c:spPr>
            <a:solidFill>
              <a:schemeClr val="accent1"/>
            </a:solidFill>
            <a:ln>
              <a:noFill/>
            </a:ln>
            <a:effectLst/>
          </c:spPr>
          <c:invertIfNegative val="0"/>
          <c:cat>
            <c:strRef>
              <c:f>pivot!$J$11:$J$14</c:f>
              <c:strCache>
                <c:ptCount val="3"/>
                <c:pt idx="0">
                  <c:v>2022</c:v>
                </c:pt>
                <c:pt idx="1">
                  <c:v>2023</c:v>
                </c:pt>
                <c:pt idx="2">
                  <c:v>2024</c:v>
                </c:pt>
              </c:strCache>
            </c:strRef>
          </c:cat>
          <c:val>
            <c:numRef>
              <c:f>pivot!$K$11:$K$14</c:f>
              <c:numCache>
                <c:formatCode>_("€"* #,##0.00_);_("€"* \(#,##0.00\);_("€"* "-"??_);_(@_)</c:formatCode>
                <c:ptCount val="3"/>
                <c:pt idx="0">
                  <c:v>8726.15</c:v>
                </c:pt>
                <c:pt idx="1">
                  <c:v>4716.09</c:v>
                </c:pt>
                <c:pt idx="2">
                  <c:v>11242.119999999999</c:v>
                </c:pt>
              </c:numCache>
            </c:numRef>
          </c:val>
          <c:extLst>
            <c:ext xmlns:c16="http://schemas.microsoft.com/office/drawing/2014/chart" uri="{C3380CC4-5D6E-409C-BE32-E72D297353CC}">
              <c16:uniqueId val="{00000000-8E7A-47D4-97FC-9233B93FE210}"/>
            </c:ext>
          </c:extLst>
        </c:ser>
        <c:ser>
          <c:idx val="1"/>
          <c:order val="1"/>
          <c:tx>
            <c:strRef>
              <c:f>pivot!$L$9:$L$10</c:f>
              <c:strCache>
                <c:ptCount val="1"/>
                <c:pt idx="0">
                  <c:v>Bianchi</c:v>
                </c:pt>
              </c:strCache>
            </c:strRef>
          </c:tx>
          <c:spPr>
            <a:solidFill>
              <a:schemeClr val="accent2"/>
            </a:solidFill>
            <a:ln>
              <a:noFill/>
            </a:ln>
            <a:effectLst/>
          </c:spPr>
          <c:invertIfNegative val="0"/>
          <c:cat>
            <c:strRef>
              <c:f>pivot!$J$11:$J$14</c:f>
              <c:strCache>
                <c:ptCount val="3"/>
                <c:pt idx="0">
                  <c:v>2022</c:v>
                </c:pt>
                <c:pt idx="1">
                  <c:v>2023</c:v>
                </c:pt>
                <c:pt idx="2">
                  <c:v>2024</c:v>
                </c:pt>
              </c:strCache>
            </c:strRef>
          </c:cat>
          <c:val>
            <c:numRef>
              <c:f>pivot!$L$11:$L$14</c:f>
              <c:numCache>
                <c:formatCode>_("€"* #,##0.00_);_("€"* \(#,##0.00\);_("€"* "-"??_);_(@_)</c:formatCode>
                <c:ptCount val="3"/>
                <c:pt idx="0">
                  <c:v>3225.6800000000003</c:v>
                </c:pt>
                <c:pt idx="1">
                  <c:v>7074.2599999999993</c:v>
                </c:pt>
                <c:pt idx="2">
                  <c:v>5297.28</c:v>
                </c:pt>
              </c:numCache>
            </c:numRef>
          </c:val>
          <c:extLst>
            <c:ext xmlns:c16="http://schemas.microsoft.com/office/drawing/2014/chart" uri="{C3380CC4-5D6E-409C-BE32-E72D297353CC}">
              <c16:uniqueId val="{00000001-8E7A-47D4-97FC-9233B93FE210}"/>
            </c:ext>
          </c:extLst>
        </c:ser>
        <c:ser>
          <c:idx val="2"/>
          <c:order val="2"/>
          <c:tx>
            <c:strRef>
              <c:f>pivot!$M$9:$M$10</c:f>
              <c:strCache>
                <c:ptCount val="1"/>
                <c:pt idx="0">
                  <c:v>Grisi</c:v>
                </c:pt>
              </c:strCache>
            </c:strRef>
          </c:tx>
          <c:spPr>
            <a:solidFill>
              <a:schemeClr val="accent3"/>
            </a:solidFill>
            <a:ln>
              <a:noFill/>
            </a:ln>
            <a:effectLst/>
          </c:spPr>
          <c:invertIfNegative val="0"/>
          <c:cat>
            <c:strRef>
              <c:f>pivot!$J$11:$J$14</c:f>
              <c:strCache>
                <c:ptCount val="3"/>
                <c:pt idx="0">
                  <c:v>2022</c:v>
                </c:pt>
                <c:pt idx="1">
                  <c:v>2023</c:v>
                </c:pt>
                <c:pt idx="2">
                  <c:v>2024</c:v>
                </c:pt>
              </c:strCache>
            </c:strRef>
          </c:cat>
          <c:val>
            <c:numRef>
              <c:f>pivot!$M$11:$M$14</c:f>
              <c:numCache>
                <c:formatCode>_("€"* #,##0.00_);_("€"* \(#,##0.00\);_("€"* "-"??_);_(@_)</c:formatCode>
                <c:ptCount val="3"/>
                <c:pt idx="0">
                  <c:v>9214.6200000000008</c:v>
                </c:pt>
                <c:pt idx="1">
                  <c:v>5439.5700000000006</c:v>
                </c:pt>
                <c:pt idx="2">
                  <c:v>2991.2300000000005</c:v>
                </c:pt>
              </c:numCache>
            </c:numRef>
          </c:val>
          <c:extLst>
            <c:ext xmlns:c16="http://schemas.microsoft.com/office/drawing/2014/chart" uri="{C3380CC4-5D6E-409C-BE32-E72D297353CC}">
              <c16:uniqueId val="{00000002-8E7A-47D4-97FC-9233B93FE210}"/>
            </c:ext>
          </c:extLst>
        </c:ser>
        <c:ser>
          <c:idx val="3"/>
          <c:order val="3"/>
          <c:tx>
            <c:strRef>
              <c:f>pivot!$N$9:$N$10</c:f>
              <c:strCache>
                <c:ptCount val="1"/>
                <c:pt idx="0">
                  <c:v>Neri</c:v>
                </c:pt>
              </c:strCache>
            </c:strRef>
          </c:tx>
          <c:spPr>
            <a:solidFill>
              <a:schemeClr val="accent4"/>
            </a:solidFill>
            <a:ln>
              <a:noFill/>
            </a:ln>
            <a:effectLst/>
          </c:spPr>
          <c:invertIfNegative val="0"/>
          <c:cat>
            <c:strRef>
              <c:f>pivot!$J$11:$J$14</c:f>
              <c:strCache>
                <c:ptCount val="3"/>
                <c:pt idx="0">
                  <c:v>2022</c:v>
                </c:pt>
                <c:pt idx="1">
                  <c:v>2023</c:v>
                </c:pt>
                <c:pt idx="2">
                  <c:v>2024</c:v>
                </c:pt>
              </c:strCache>
            </c:strRef>
          </c:cat>
          <c:val>
            <c:numRef>
              <c:f>pivot!$N$11:$N$14</c:f>
              <c:numCache>
                <c:formatCode>_("€"* #,##0.00_);_("€"* \(#,##0.00\);_("€"* "-"??_);_(@_)</c:formatCode>
                <c:ptCount val="3"/>
                <c:pt idx="0">
                  <c:v>4745.71</c:v>
                </c:pt>
                <c:pt idx="1">
                  <c:v>5426.35</c:v>
                </c:pt>
                <c:pt idx="2">
                  <c:v>5448.6399999999994</c:v>
                </c:pt>
              </c:numCache>
            </c:numRef>
          </c:val>
          <c:extLst>
            <c:ext xmlns:c16="http://schemas.microsoft.com/office/drawing/2014/chart" uri="{C3380CC4-5D6E-409C-BE32-E72D297353CC}">
              <c16:uniqueId val="{00000003-8E7A-47D4-97FC-9233B93FE210}"/>
            </c:ext>
          </c:extLst>
        </c:ser>
        <c:ser>
          <c:idx val="4"/>
          <c:order val="4"/>
          <c:tx>
            <c:strRef>
              <c:f>pivot!$O$9:$O$10</c:f>
              <c:strCache>
                <c:ptCount val="1"/>
                <c:pt idx="0">
                  <c:v>Rossi</c:v>
                </c:pt>
              </c:strCache>
            </c:strRef>
          </c:tx>
          <c:spPr>
            <a:solidFill>
              <a:schemeClr val="accent5"/>
            </a:solidFill>
            <a:ln>
              <a:noFill/>
            </a:ln>
            <a:effectLst/>
          </c:spPr>
          <c:invertIfNegative val="0"/>
          <c:cat>
            <c:strRef>
              <c:f>pivot!$J$11:$J$14</c:f>
              <c:strCache>
                <c:ptCount val="3"/>
                <c:pt idx="0">
                  <c:v>2022</c:v>
                </c:pt>
                <c:pt idx="1">
                  <c:v>2023</c:v>
                </c:pt>
                <c:pt idx="2">
                  <c:v>2024</c:v>
                </c:pt>
              </c:strCache>
            </c:strRef>
          </c:cat>
          <c:val>
            <c:numRef>
              <c:f>pivot!$O$11:$O$14</c:f>
              <c:numCache>
                <c:formatCode>_("€"* #,##0.00_);_("€"* \(#,##0.00\);_("€"* "-"??_);_(@_)</c:formatCode>
                <c:ptCount val="3"/>
                <c:pt idx="0">
                  <c:v>5387.2199999999993</c:v>
                </c:pt>
                <c:pt idx="1">
                  <c:v>3612.5600000000004</c:v>
                </c:pt>
                <c:pt idx="2">
                  <c:v>5013.6000000000004</c:v>
                </c:pt>
              </c:numCache>
            </c:numRef>
          </c:val>
          <c:extLst>
            <c:ext xmlns:c16="http://schemas.microsoft.com/office/drawing/2014/chart" uri="{C3380CC4-5D6E-409C-BE32-E72D297353CC}">
              <c16:uniqueId val="{00000004-8E7A-47D4-97FC-9233B93FE210}"/>
            </c:ext>
          </c:extLst>
        </c:ser>
        <c:ser>
          <c:idx val="5"/>
          <c:order val="5"/>
          <c:tx>
            <c:strRef>
              <c:f>pivot!$P$9:$P$10</c:f>
              <c:strCache>
                <c:ptCount val="1"/>
                <c:pt idx="0">
                  <c:v>Verdi</c:v>
                </c:pt>
              </c:strCache>
            </c:strRef>
          </c:tx>
          <c:spPr>
            <a:solidFill>
              <a:schemeClr val="accent6"/>
            </a:solidFill>
            <a:ln>
              <a:noFill/>
            </a:ln>
            <a:effectLst/>
          </c:spPr>
          <c:invertIfNegative val="0"/>
          <c:cat>
            <c:strRef>
              <c:f>pivot!$J$11:$J$14</c:f>
              <c:strCache>
                <c:ptCount val="3"/>
                <c:pt idx="0">
                  <c:v>2022</c:v>
                </c:pt>
                <c:pt idx="1">
                  <c:v>2023</c:v>
                </c:pt>
                <c:pt idx="2">
                  <c:v>2024</c:v>
                </c:pt>
              </c:strCache>
            </c:strRef>
          </c:cat>
          <c:val>
            <c:numRef>
              <c:f>pivot!$P$11:$P$14</c:f>
              <c:numCache>
                <c:formatCode>_("€"* #,##0.00_);_("€"* \(#,##0.00\);_("€"* "-"??_);_(@_)</c:formatCode>
                <c:ptCount val="3"/>
                <c:pt idx="0">
                  <c:v>4613.83</c:v>
                </c:pt>
                <c:pt idx="1">
                  <c:v>4191.08</c:v>
                </c:pt>
                <c:pt idx="2">
                  <c:v>2935.19</c:v>
                </c:pt>
              </c:numCache>
            </c:numRef>
          </c:val>
          <c:extLst>
            <c:ext xmlns:c16="http://schemas.microsoft.com/office/drawing/2014/chart" uri="{C3380CC4-5D6E-409C-BE32-E72D297353CC}">
              <c16:uniqueId val="{00000005-8E7A-47D4-97FC-9233B93FE210}"/>
            </c:ext>
          </c:extLst>
        </c:ser>
        <c:dLbls>
          <c:showLegendKey val="0"/>
          <c:showVal val="0"/>
          <c:showCatName val="0"/>
          <c:showSerName val="0"/>
          <c:showPercent val="0"/>
          <c:showBubbleSize val="0"/>
        </c:dLbls>
        <c:gapWidth val="219"/>
        <c:overlap val="-27"/>
        <c:axId val="1360859087"/>
        <c:axId val="1686463999"/>
      </c:barChart>
      <c:catAx>
        <c:axId val="136085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63999"/>
        <c:crosses val="autoZero"/>
        <c:auto val="1"/>
        <c:lblAlgn val="ctr"/>
        <c:lblOffset val="100"/>
        <c:noMultiLvlLbl val="0"/>
      </c:catAx>
      <c:valAx>
        <c:axId val="16864639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59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220980</xdr:colOff>
      <xdr:row>0</xdr:row>
      <xdr:rowOff>135255</xdr:rowOff>
    </xdr:from>
    <xdr:to>
      <xdr:col>14</xdr:col>
      <xdr:colOff>45720</xdr:colOff>
      <xdr:row>0</xdr:row>
      <xdr:rowOff>691515</xdr:rowOff>
    </xdr:to>
    <xdr:sp macro="" textlink="">
      <xdr:nvSpPr>
        <xdr:cNvPr id="2" name="Rectangle: Rounded Corners 1">
          <a:extLst>
            <a:ext uri="{FF2B5EF4-FFF2-40B4-BE49-F238E27FC236}">
              <a16:creationId xmlns:a16="http://schemas.microsoft.com/office/drawing/2014/main" id="{9882F0AD-F216-75E7-9BB4-7ED1BE57126A}"/>
            </a:ext>
          </a:extLst>
        </xdr:cNvPr>
        <xdr:cNvSpPr/>
      </xdr:nvSpPr>
      <xdr:spPr>
        <a:xfrm>
          <a:off x="3268980" y="135255"/>
          <a:ext cx="5311140" cy="556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0" cap="none" spc="0">
              <a:ln w="0"/>
              <a:solidFill>
                <a:schemeClr val="tx1"/>
              </a:solidFill>
              <a:effectLst>
                <a:outerShdw blurRad="38100" dist="19050" dir="2700000" algn="tl" rotWithShape="0">
                  <a:schemeClr val="dk1">
                    <a:alpha val="40000"/>
                  </a:schemeClr>
                </a:outerShdw>
              </a:effectLst>
            </a:rPr>
            <a:t>ANALISI CARTOLERIA</a:t>
          </a:r>
        </a:p>
      </xdr:txBody>
    </xdr:sp>
    <xdr:clientData/>
  </xdr:twoCellAnchor>
  <xdr:twoCellAnchor>
    <xdr:from>
      <xdr:col>0</xdr:col>
      <xdr:colOff>0</xdr:colOff>
      <xdr:row>1</xdr:row>
      <xdr:rowOff>19424</xdr:rowOff>
    </xdr:from>
    <xdr:to>
      <xdr:col>12</xdr:col>
      <xdr:colOff>15240</xdr:colOff>
      <xdr:row>33</xdr:row>
      <xdr:rowOff>0</xdr:rowOff>
    </xdr:to>
    <xdr:graphicFrame macro="">
      <xdr:nvGraphicFramePr>
        <xdr:cNvPr id="3" name="Chart 2">
          <a:extLst>
            <a:ext uri="{FF2B5EF4-FFF2-40B4-BE49-F238E27FC236}">
              <a16:creationId xmlns:a16="http://schemas.microsoft.com/office/drawing/2014/main" id="{FDE09A9F-5F11-41A8-9C48-A34D676F6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790575</xdr:rowOff>
    </xdr:from>
    <xdr:to>
      <xdr:col>10</xdr:col>
      <xdr:colOff>573741</xdr:colOff>
      <xdr:row>0</xdr:row>
      <xdr:rowOff>1276350</xdr:rowOff>
    </xdr:to>
    <mc:AlternateContent xmlns:mc="http://schemas.openxmlformats.org/markup-compatibility/2006">
      <mc:Choice xmlns:a14="http://schemas.microsoft.com/office/drawing/2010/main" Requires="a14">
        <xdr:graphicFrame macro="">
          <xdr:nvGraphicFramePr>
            <xdr:cNvPr id="4" name=" Years (Data)">
              <a:extLst>
                <a:ext uri="{FF2B5EF4-FFF2-40B4-BE49-F238E27FC236}">
                  <a16:creationId xmlns:a16="http://schemas.microsoft.com/office/drawing/2014/main" id="{481C029E-921C-4F3A-91F2-72CE612DBA89}"/>
                </a:ext>
              </a:extLst>
            </xdr:cNvPr>
            <xdr:cNvGraphicFramePr/>
          </xdr:nvGraphicFramePr>
          <xdr:xfrm>
            <a:off x="0" y="0"/>
            <a:ext cx="0" cy="0"/>
          </xdr:xfrm>
          <a:graphic>
            <a:graphicData uri="http://schemas.microsoft.com/office/drawing/2010/slicer">
              <sle:slicer xmlns:sle="http://schemas.microsoft.com/office/drawing/2010/slicer" name=" Years (Data)"/>
            </a:graphicData>
          </a:graphic>
        </xdr:graphicFrame>
      </mc:Choice>
      <mc:Fallback>
        <xdr:sp macro="" textlink="">
          <xdr:nvSpPr>
            <xdr:cNvPr id="0" name=""/>
            <xdr:cNvSpPr>
              <a:spLocks noTextEdit="1"/>
            </xdr:cNvSpPr>
          </xdr:nvSpPr>
          <xdr:spPr>
            <a:xfrm>
              <a:off x="0" y="790575"/>
              <a:ext cx="6692832" cy="485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18807</xdr:colOff>
      <xdr:row>1</xdr:row>
      <xdr:rowOff>58378</xdr:rowOff>
    </xdr:from>
    <xdr:to>
      <xdr:col>17</xdr:col>
      <xdr:colOff>291759</xdr:colOff>
      <xdr:row>14</xdr:row>
      <xdr:rowOff>166132</xdr:rowOff>
    </xdr:to>
    <xdr:graphicFrame macro="">
      <xdr:nvGraphicFramePr>
        <xdr:cNvPr id="5" name="Chart 4">
          <a:extLst>
            <a:ext uri="{FF2B5EF4-FFF2-40B4-BE49-F238E27FC236}">
              <a16:creationId xmlns:a16="http://schemas.microsoft.com/office/drawing/2014/main" id="{9B697029-B8BA-44C7-B142-8676FF979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27746</xdr:colOff>
      <xdr:row>15</xdr:row>
      <xdr:rowOff>9378</xdr:rowOff>
    </xdr:from>
    <xdr:to>
      <xdr:col>17</xdr:col>
      <xdr:colOff>299663</xdr:colOff>
      <xdr:row>27</xdr:row>
      <xdr:rowOff>102742</xdr:rowOff>
    </xdr:to>
    <xdr:graphicFrame macro="">
      <xdr:nvGraphicFramePr>
        <xdr:cNvPr id="6" name="Chart 5">
          <a:extLst>
            <a:ext uri="{FF2B5EF4-FFF2-40B4-BE49-F238E27FC236}">
              <a16:creationId xmlns:a16="http://schemas.microsoft.com/office/drawing/2014/main" id="{30044E28-19D3-460D-A310-7CFF73BD5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483577</xdr:colOff>
      <xdr:row>1</xdr:row>
      <xdr:rowOff>58615</xdr:rowOff>
    </xdr:from>
    <xdr:to>
      <xdr:col>25</xdr:col>
      <xdr:colOff>381000</xdr:colOff>
      <xdr:row>14</xdr:row>
      <xdr:rowOff>73269</xdr:rowOff>
    </xdr:to>
    <xdr:graphicFrame macro="">
      <xdr:nvGraphicFramePr>
        <xdr:cNvPr id="7" name="Chart 6">
          <a:extLst>
            <a:ext uri="{FF2B5EF4-FFF2-40B4-BE49-F238E27FC236}">
              <a16:creationId xmlns:a16="http://schemas.microsoft.com/office/drawing/2014/main" id="{AA37B592-FE32-4098-B72C-B305A5699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479461</xdr:colOff>
      <xdr:row>14</xdr:row>
      <xdr:rowOff>145551</xdr:rowOff>
    </xdr:from>
    <xdr:to>
      <xdr:col>25</xdr:col>
      <xdr:colOff>393843</xdr:colOff>
      <xdr:row>27</xdr:row>
      <xdr:rowOff>119867</xdr:rowOff>
    </xdr:to>
    <xdr:graphicFrame macro="">
      <xdr:nvGraphicFramePr>
        <xdr:cNvPr id="8" name="Chart 7">
          <a:extLst>
            <a:ext uri="{FF2B5EF4-FFF2-40B4-BE49-F238E27FC236}">
              <a16:creationId xmlns:a16="http://schemas.microsoft.com/office/drawing/2014/main" id="{218D9F37-C1D2-4D24-8276-D78D33BFD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184728</xdr:colOff>
      <xdr:row>0</xdr:row>
      <xdr:rowOff>714001</xdr:rowOff>
    </xdr:from>
    <xdr:to>
      <xdr:col>25</xdr:col>
      <xdr:colOff>606088</xdr:colOff>
      <xdr:row>0</xdr:row>
      <xdr:rowOff>1235364</xdr:rowOff>
    </xdr:to>
    <mc:AlternateContent xmlns:mc="http://schemas.openxmlformats.org/markup-compatibility/2006">
      <mc:Choice xmlns:a14="http://schemas.microsoft.com/office/drawing/2010/main" Requires="a14">
        <xdr:graphicFrame macro="">
          <xdr:nvGraphicFramePr>
            <xdr:cNvPr id="9" name="Articolo">
              <a:extLst>
                <a:ext uri="{FF2B5EF4-FFF2-40B4-BE49-F238E27FC236}">
                  <a16:creationId xmlns:a16="http://schemas.microsoft.com/office/drawing/2014/main" id="{95A12773-9C54-4FCB-A88E-E58B7843A82D}"/>
                </a:ext>
              </a:extLst>
            </xdr:cNvPr>
            <xdr:cNvGraphicFramePr/>
          </xdr:nvGraphicFramePr>
          <xdr:xfrm>
            <a:off x="0" y="0"/>
            <a:ext cx="0" cy="0"/>
          </xdr:xfrm>
          <a:graphic>
            <a:graphicData uri="http://schemas.microsoft.com/office/drawing/2010/slicer">
              <sle:slicer xmlns:sle="http://schemas.microsoft.com/office/drawing/2010/slicer" name="Articolo"/>
            </a:graphicData>
          </a:graphic>
        </xdr:graphicFrame>
      </mc:Choice>
      <mc:Fallback>
        <xdr:sp macro="" textlink="">
          <xdr:nvSpPr>
            <xdr:cNvPr id="0" name=""/>
            <xdr:cNvSpPr>
              <a:spLocks noTextEdit="1"/>
            </xdr:cNvSpPr>
          </xdr:nvSpPr>
          <xdr:spPr>
            <a:xfrm>
              <a:off x="8751455" y="714001"/>
              <a:ext cx="7152360" cy="5213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5.795472453705" createdVersion="8" refreshedVersion="8" minRefreshableVersion="3" recordCount="197" xr:uid="{8283AE40-DD66-4712-82E8-D0F49BA6D819}">
  <cacheSource type="worksheet">
    <worksheetSource name="Table1"/>
  </cacheSource>
  <cacheFields count="7">
    <cacheField name="Articolo" numFmtId="0">
      <sharedItems count="6">
        <s v="Matite"/>
        <s v="Bianchetti"/>
        <s v="Carta colorata"/>
        <s v="Penne a sfera"/>
        <s v="Evidenziatori"/>
        <s v="Gomme"/>
      </sharedItems>
    </cacheField>
    <cacheField name="Venditore" numFmtId="0">
      <sharedItems count="6">
        <s v="Grisi"/>
        <s v="Azzurri"/>
        <s v="Bianchi"/>
        <s v="Neri"/>
        <s v="Rossi"/>
        <s v="Verdi"/>
      </sharedItems>
    </cacheField>
    <cacheField name="Data" numFmtId="14">
      <sharedItems containsSemiMixedTypes="0" containsNonDate="0" containsDate="1" containsString="0" minDate="2022-01-10T00:00:00" maxDate="2024-12-30T00:00:00" count="176">
        <d v="2023-02-25T00:00:00"/>
        <d v="2022-11-22T00:00:00"/>
        <d v="2022-06-10T00:00:00"/>
        <d v="2024-11-12T00:00:00"/>
        <d v="2024-03-16T00:00:00"/>
        <d v="2022-07-10T00:00:00"/>
        <d v="2022-08-07T00:00:00"/>
        <d v="2022-07-30T00:00:00"/>
        <d v="2022-10-17T00:00:00"/>
        <d v="2024-05-12T00:00:00"/>
        <d v="2024-06-15T00:00:00"/>
        <d v="2024-03-13T00:00:00"/>
        <d v="2022-11-27T00:00:00"/>
        <d v="2023-05-06T00:00:00"/>
        <d v="2023-08-28T00:00:00"/>
        <d v="2022-08-01T00:00:00"/>
        <d v="2024-07-07T00:00:00"/>
        <d v="2022-04-07T00:00:00"/>
        <d v="2023-10-30T00:00:00"/>
        <d v="2023-03-09T00:00:00"/>
        <d v="2024-11-18T00:00:00"/>
        <d v="2023-01-15T00:00:00"/>
        <d v="2022-09-01T00:00:00"/>
        <d v="2024-02-12T00:00:00"/>
        <d v="2023-02-16T00:00:00"/>
        <d v="2023-07-28T00:00:00"/>
        <d v="2024-01-17T00:00:00"/>
        <d v="2024-03-17T00:00:00"/>
        <d v="2024-04-28T00:00:00"/>
        <d v="2022-02-13T00:00:00"/>
        <d v="2023-12-25T00:00:00"/>
        <d v="2022-06-13T00:00:00"/>
        <d v="2024-12-21T00:00:00"/>
        <d v="2022-11-12T00:00:00"/>
        <d v="2023-06-09T00:00:00"/>
        <d v="2024-08-22T00:00:00"/>
        <d v="2023-05-26T00:00:00"/>
        <d v="2024-08-11T00:00:00"/>
        <d v="2022-08-03T00:00:00"/>
        <d v="2023-09-08T00:00:00"/>
        <d v="2024-07-03T00:00:00"/>
        <d v="2024-11-03T00:00:00"/>
        <d v="2022-02-08T00:00:00"/>
        <d v="2023-03-17T00:00:00"/>
        <d v="2022-03-13T00:00:00"/>
        <d v="2023-08-16T00:00:00"/>
        <d v="2024-12-19T00:00:00"/>
        <d v="2023-10-19T00:00:00"/>
        <d v="2024-05-22T00:00:00"/>
        <d v="2024-02-16T00:00:00"/>
        <d v="2024-12-29T00:00:00"/>
        <d v="2022-04-20T00:00:00"/>
        <d v="2022-05-28T00:00:00"/>
        <d v="2023-11-10T00:00:00"/>
        <d v="2022-09-22T00:00:00"/>
        <d v="2024-11-28T00:00:00"/>
        <d v="2023-10-01T00:00:00"/>
        <d v="2024-10-31T00:00:00"/>
        <d v="2023-12-30T00:00:00"/>
        <d v="2024-04-21T00:00:00"/>
        <d v="2024-04-12T00:00:00"/>
        <d v="2022-05-12T00:00:00"/>
        <d v="2022-07-21T00:00:00"/>
        <d v="2024-03-02T00:00:00"/>
        <d v="2022-02-04T00:00:00"/>
        <d v="2023-09-16T00:00:00"/>
        <d v="2024-09-15T00:00:00"/>
        <d v="2024-10-02T00:00:00"/>
        <d v="2024-06-11T00:00:00"/>
        <d v="2024-12-07T00:00:00"/>
        <d v="2024-03-26T00:00:00"/>
        <d v="2024-09-19T00:00:00"/>
        <d v="2023-12-21T00:00:00"/>
        <d v="2022-09-16T00:00:00"/>
        <d v="2024-02-09T00:00:00"/>
        <d v="2024-10-24T00:00:00"/>
        <d v="2023-07-04T00:00:00"/>
        <d v="2023-09-12T00:00:00"/>
        <d v="2023-11-08T00:00:00"/>
        <d v="2023-09-01T00:00:00"/>
        <d v="2022-12-16T00:00:00"/>
        <d v="2023-04-02T00:00:00"/>
        <d v="2022-07-24T00:00:00"/>
        <d v="2024-05-09T00:00:00"/>
        <d v="2023-05-04T00:00:00"/>
        <d v="2024-10-29T00:00:00"/>
        <d v="2024-08-19T00:00:00"/>
        <d v="2023-02-13T00:00:00"/>
        <d v="2022-06-15T00:00:00"/>
        <d v="2023-11-04T00:00:00"/>
        <d v="2022-11-23T00:00:00"/>
        <d v="2023-08-12T00:00:00"/>
        <d v="2024-08-10T00:00:00"/>
        <d v="2023-11-16T00:00:00"/>
        <d v="2024-05-19T00:00:00"/>
        <d v="2022-08-26T00:00:00"/>
        <d v="2023-09-30T00:00:00"/>
        <d v="2023-07-16T00:00:00"/>
        <d v="2023-06-16T00:00:00"/>
        <d v="2022-05-21T00:00:00"/>
        <d v="2022-09-20T00:00:00"/>
        <d v="2024-07-22T00:00:00"/>
        <d v="2022-01-27T00:00:00"/>
        <d v="2024-04-30T00:00:00"/>
        <d v="2022-03-20T00:00:00"/>
        <d v="2022-05-17T00:00:00"/>
        <d v="2022-04-29T00:00:00"/>
        <d v="2022-02-16T00:00:00"/>
        <d v="2024-06-08T00:00:00"/>
        <d v="2024-09-28T00:00:00"/>
        <d v="2023-10-31T00:00:00"/>
        <d v="2023-09-19T00:00:00"/>
        <d v="2022-05-09T00:00:00"/>
        <d v="2022-09-03T00:00:00"/>
        <d v="2022-09-04T00:00:00"/>
        <d v="2023-02-20T00:00:00"/>
        <d v="2024-03-11T00:00:00"/>
        <d v="2022-12-01T00:00:00"/>
        <d v="2023-10-06T00:00:00"/>
        <d v="2023-07-19T00:00:00"/>
        <d v="2023-10-26T00:00:00"/>
        <d v="2024-05-29T00:00:00"/>
        <d v="2023-03-30T00:00:00"/>
        <d v="2022-12-04T00:00:00"/>
        <d v="2023-12-28T00:00:00"/>
        <d v="2022-11-16T00:00:00"/>
        <d v="2022-07-16T00:00:00"/>
        <d v="2023-09-29T00:00:00"/>
        <d v="2023-01-10T00:00:00"/>
        <d v="2022-12-27T00:00:00"/>
        <d v="2024-01-22T00:00:00"/>
        <d v="2024-02-19T00:00:00"/>
        <d v="2024-08-20T00:00:00"/>
        <d v="2024-03-10T00:00:00"/>
        <d v="2022-03-17T00:00:00"/>
        <d v="2022-11-28T00:00:00"/>
        <d v="2023-04-13T00:00:00"/>
        <d v="2024-11-27T00:00:00"/>
        <d v="2022-10-25T00:00:00"/>
        <d v="2022-08-05T00:00:00"/>
        <d v="2023-08-19T00:00:00"/>
        <d v="2022-01-11T00:00:00"/>
        <d v="2022-02-19T00:00:00"/>
        <d v="2022-05-11T00:00:00"/>
        <d v="2024-06-24T00:00:00"/>
        <d v="2024-03-24T00:00:00"/>
        <d v="2024-05-13T00:00:00"/>
        <d v="2023-11-30T00:00:00"/>
        <d v="2022-07-18T00:00:00"/>
        <d v="2024-06-03T00:00:00"/>
        <d v="2023-10-09T00:00:00"/>
        <d v="2024-04-11T00:00:00"/>
        <d v="2022-02-20T00:00:00"/>
        <d v="2023-12-22T00:00:00"/>
        <d v="2024-09-18T00:00:00"/>
        <d v="2023-01-19T00:00:00"/>
        <d v="2023-12-20T00:00:00"/>
        <d v="2023-07-05T00:00:00"/>
        <d v="2024-11-14T00:00:00"/>
        <d v="2022-01-10T00:00:00"/>
        <d v="2022-12-24T00:00:00"/>
        <d v="2022-07-29T00:00:00"/>
        <d v="2024-01-13T00:00:00"/>
        <d v="2023-06-02T00:00:00"/>
        <d v="2023-08-26T00:00:00"/>
        <d v="2023-06-08T00:00:00"/>
        <d v="2022-10-30T00:00:00"/>
        <d v="2022-12-28T00:00:00"/>
        <d v="2024-11-11T00:00:00"/>
        <d v="2023-10-04T00:00:00"/>
        <d v="2024-01-21T00:00:00"/>
        <d v="2023-10-13T00:00:00"/>
        <d v="2022-10-09T00:00:00"/>
        <d v="2023-01-16T00:00:00"/>
        <d v="2022-07-13T00:00:00"/>
        <d v="2022-12-23T00:00:00"/>
      </sharedItems>
      <fieldGroup par="6"/>
    </cacheField>
    <cacheField name="Importo" numFmtId="44">
      <sharedItems containsSemiMixedTypes="0" containsString="0" containsNumber="1" minValue="56.91" maxValue="996.14"/>
    </cacheField>
    <cacheField name="Months (Data)" numFmtId="0" databaseField="0">
      <fieldGroup base="2">
        <rangePr groupBy="months" startDate="2022-01-10T00:00:00" endDate="2024-12-30T00:00:00"/>
        <groupItems count="14">
          <s v="&lt;10/01/2022"/>
          <s v="gen"/>
          <s v="feb"/>
          <s v="mar"/>
          <s v="apr"/>
          <s v="mag"/>
          <s v="giu"/>
          <s v="lug"/>
          <s v="ago"/>
          <s v="set"/>
          <s v="ott"/>
          <s v="nov"/>
          <s v="dic"/>
          <s v="&gt;30/12/2024"/>
        </groupItems>
      </fieldGroup>
    </cacheField>
    <cacheField name="Quarters (Data)" numFmtId="0" databaseField="0">
      <fieldGroup base="2">
        <rangePr groupBy="quarters" startDate="2022-01-10T00:00:00" endDate="2024-12-30T00:00:00"/>
        <groupItems count="6">
          <s v="&lt;10/01/2022"/>
          <s v="Qtr1"/>
          <s v="Qtr2"/>
          <s v="Qtr3"/>
          <s v="Qtr4"/>
          <s v="&gt;30/12/2024"/>
        </groupItems>
      </fieldGroup>
    </cacheField>
    <cacheField name="Years (Data)" numFmtId="0" databaseField="0">
      <fieldGroup base="2">
        <rangePr groupBy="years" startDate="2022-01-10T00:00:00" endDate="2024-12-30T00:00:00"/>
        <groupItems count="5">
          <s v="&lt;10/01/2022"/>
          <s v="2022"/>
          <s v="2023"/>
          <s v="2024"/>
          <s v="&gt;30/12/2024"/>
        </groupItems>
      </fieldGroup>
    </cacheField>
  </cacheFields>
  <extLst>
    <ext xmlns:x14="http://schemas.microsoft.com/office/spreadsheetml/2009/9/main" uri="{725AE2AE-9491-48be-B2B4-4EB974FC3084}">
      <x14:pivotCacheDefinition pivotCacheId="524013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x v="0"/>
    <x v="0"/>
    <n v="755.01"/>
  </r>
  <r>
    <x v="1"/>
    <x v="1"/>
    <x v="1"/>
    <n v="745.97"/>
  </r>
  <r>
    <x v="2"/>
    <x v="2"/>
    <x v="2"/>
    <n v="74.17"/>
  </r>
  <r>
    <x v="3"/>
    <x v="1"/>
    <x v="3"/>
    <n v="928.69"/>
  </r>
  <r>
    <x v="4"/>
    <x v="2"/>
    <x v="4"/>
    <n v="941.95"/>
  </r>
  <r>
    <x v="0"/>
    <x v="0"/>
    <x v="5"/>
    <n v="428.18"/>
  </r>
  <r>
    <x v="5"/>
    <x v="1"/>
    <x v="6"/>
    <n v="733.99"/>
  </r>
  <r>
    <x v="1"/>
    <x v="1"/>
    <x v="7"/>
    <n v="990.93"/>
  </r>
  <r>
    <x v="5"/>
    <x v="0"/>
    <x v="8"/>
    <n v="65.959999999999994"/>
  </r>
  <r>
    <x v="4"/>
    <x v="3"/>
    <x v="9"/>
    <n v="720.68"/>
  </r>
  <r>
    <x v="0"/>
    <x v="1"/>
    <x v="10"/>
    <n v="180.52"/>
  </r>
  <r>
    <x v="1"/>
    <x v="4"/>
    <x v="11"/>
    <n v="737.42"/>
  </r>
  <r>
    <x v="1"/>
    <x v="2"/>
    <x v="12"/>
    <n v="589.1"/>
  </r>
  <r>
    <x v="1"/>
    <x v="4"/>
    <x v="13"/>
    <n v="984.27"/>
  </r>
  <r>
    <x v="3"/>
    <x v="5"/>
    <x v="14"/>
    <n v="420.7"/>
  </r>
  <r>
    <x v="1"/>
    <x v="2"/>
    <x v="15"/>
    <n v="657.8"/>
  </r>
  <r>
    <x v="4"/>
    <x v="2"/>
    <x v="16"/>
    <n v="711.52"/>
  </r>
  <r>
    <x v="1"/>
    <x v="4"/>
    <x v="17"/>
    <n v="830.31"/>
  </r>
  <r>
    <x v="2"/>
    <x v="1"/>
    <x v="18"/>
    <n v="222.35"/>
  </r>
  <r>
    <x v="5"/>
    <x v="5"/>
    <x v="19"/>
    <n v="346.79"/>
  </r>
  <r>
    <x v="2"/>
    <x v="2"/>
    <x v="20"/>
    <n v="317.10000000000002"/>
  </r>
  <r>
    <x v="3"/>
    <x v="4"/>
    <x v="21"/>
    <n v="253.41"/>
  </r>
  <r>
    <x v="5"/>
    <x v="0"/>
    <x v="22"/>
    <n v="751.13"/>
  </r>
  <r>
    <x v="5"/>
    <x v="0"/>
    <x v="23"/>
    <n v="439.77"/>
  </r>
  <r>
    <x v="3"/>
    <x v="1"/>
    <x v="24"/>
    <n v="450.93"/>
  </r>
  <r>
    <x v="1"/>
    <x v="2"/>
    <x v="25"/>
    <n v="347.69"/>
  </r>
  <r>
    <x v="5"/>
    <x v="3"/>
    <x v="26"/>
    <n v="95.93"/>
  </r>
  <r>
    <x v="0"/>
    <x v="0"/>
    <x v="27"/>
    <n v="534.48"/>
  </r>
  <r>
    <x v="5"/>
    <x v="1"/>
    <x v="28"/>
    <n v="327.73"/>
  </r>
  <r>
    <x v="1"/>
    <x v="0"/>
    <x v="29"/>
    <n v="217.52"/>
  </r>
  <r>
    <x v="1"/>
    <x v="3"/>
    <x v="30"/>
    <n v="858.01"/>
  </r>
  <r>
    <x v="0"/>
    <x v="0"/>
    <x v="31"/>
    <n v="620.24"/>
  </r>
  <r>
    <x v="3"/>
    <x v="2"/>
    <x v="32"/>
    <n v="954.01"/>
  </r>
  <r>
    <x v="2"/>
    <x v="0"/>
    <x v="33"/>
    <n v="966.9"/>
  </r>
  <r>
    <x v="1"/>
    <x v="5"/>
    <x v="34"/>
    <n v="188.13"/>
  </r>
  <r>
    <x v="0"/>
    <x v="2"/>
    <x v="35"/>
    <n v="535.87"/>
  </r>
  <r>
    <x v="5"/>
    <x v="1"/>
    <x v="36"/>
    <n v="56.91"/>
  </r>
  <r>
    <x v="1"/>
    <x v="2"/>
    <x v="16"/>
    <n v="631.19000000000005"/>
  </r>
  <r>
    <x v="3"/>
    <x v="1"/>
    <x v="37"/>
    <n v="274.8"/>
  </r>
  <r>
    <x v="2"/>
    <x v="5"/>
    <x v="38"/>
    <n v="815.41"/>
  </r>
  <r>
    <x v="1"/>
    <x v="4"/>
    <x v="39"/>
    <n v="493.34"/>
  </r>
  <r>
    <x v="1"/>
    <x v="1"/>
    <x v="40"/>
    <n v="406.59"/>
  </r>
  <r>
    <x v="1"/>
    <x v="1"/>
    <x v="41"/>
    <n v="111.94"/>
  </r>
  <r>
    <x v="2"/>
    <x v="3"/>
    <x v="42"/>
    <n v="616.82000000000005"/>
  </r>
  <r>
    <x v="4"/>
    <x v="5"/>
    <x v="43"/>
    <n v="794.84"/>
  </r>
  <r>
    <x v="0"/>
    <x v="0"/>
    <x v="44"/>
    <n v="199.88"/>
  </r>
  <r>
    <x v="4"/>
    <x v="0"/>
    <x v="45"/>
    <n v="988.1"/>
  </r>
  <r>
    <x v="2"/>
    <x v="3"/>
    <x v="46"/>
    <n v="547.29999999999995"/>
  </r>
  <r>
    <x v="1"/>
    <x v="1"/>
    <x v="47"/>
    <n v="169.22"/>
  </r>
  <r>
    <x v="3"/>
    <x v="1"/>
    <x v="48"/>
    <n v="613.96"/>
  </r>
  <r>
    <x v="2"/>
    <x v="4"/>
    <x v="49"/>
    <n v="443.05"/>
  </r>
  <r>
    <x v="0"/>
    <x v="0"/>
    <x v="50"/>
    <n v="64.64"/>
  </r>
  <r>
    <x v="2"/>
    <x v="5"/>
    <x v="51"/>
    <n v="173.1"/>
  </r>
  <r>
    <x v="5"/>
    <x v="0"/>
    <x v="52"/>
    <n v="763.41"/>
  </r>
  <r>
    <x v="5"/>
    <x v="3"/>
    <x v="53"/>
    <n v="718.49"/>
  </r>
  <r>
    <x v="5"/>
    <x v="3"/>
    <x v="54"/>
    <n v="430.12"/>
  </r>
  <r>
    <x v="5"/>
    <x v="1"/>
    <x v="55"/>
    <n v="724.24"/>
  </r>
  <r>
    <x v="1"/>
    <x v="1"/>
    <x v="56"/>
    <n v="303.54000000000002"/>
  </r>
  <r>
    <x v="1"/>
    <x v="1"/>
    <x v="57"/>
    <n v="873.91"/>
  </r>
  <r>
    <x v="3"/>
    <x v="2"/>
    <x v="58"/>
    <n v="363.49"/>
  </r>
  <r>
    <x v="2"/>
    <x v="1"/>
    <x v="59"/>
    <n v="288.12"/>
  </r>
  <r>
    <x v="3"/>
    <x v="4"/>
    <x v="60"/>
    <n v="484.1"/>
  </r>
  <r>
    <x v="5"/>
    <x v="1"/>
    <x v="61"/>
    <n v="753.62"/>
  </r>
  <r>
    <x v="2"/>
    <x v="2"/>
    <x v="62"/>
    <n v="143.47999999999999"/>
  </r>
  <r>
    <x v="3"/>
    <x v="4"/>
    <x v="63"/>
    <n v="752.33"/>
  </r>
  <r>
    <x v="0"/>
    <x v="5"/>
    <x v="64"/>
    <n v="789.76"/>
  </r>
  <r>
    <x v="4"/>
    <x v="4"/>
    <x v="58"/>
    <n v="250.57"/>
  </r>
  <r>
    <x v="5"/>
    <x v="1"/>
    <x v="65"/>
    <n v="873.13"/>
  </r>
  <r>
    <x v="0"/>
    <x v="1"/>
    <x v="20"/>
    <n v="787.59"/>
  </r>
  <r>
    <x v="4"/>
    <x v="3"/>
    <x v="66"/>
    <n v="518.61"/>
  </r>
  <r>
    <x v="5"/>
    <x v="3"/>
    <x v="67"/>
    <n v="356.72"/>
  </r>
  <r>
    <x v="0"/>
    <x v="2"/>
    <x v="68"/>
    <n v="691.11"/>
  </r>
  <r>
    <x v="1"/>
    <x v="0"/>
    <x v="69"/>
    <n v="317.67"/>
  </r>
  <r>
    <x v="0"/>
    <x v="1"/>
    <x v="70"/>
    <n v="268.08"/>
  </r>
  <r>
    <x v="0"/>
    <x v="1"/>
    <x v="71"/>
    <n v="847.77"/>
  </r>
  <r>
    <x v="4"/>
    <x v="5"/>
    <x v="23"/>
    <n v="821.46"/>
  </r>
  <r>
    <x v="4"/>
    <x v="3"/>
    <x v="72"/>
    <n v="691.53"/>
  </r>
  <r>
    <x v="3"/>
    <x v="1"/>
    <x v="73"/>
    <n v="847.65"/>
  </r>
  <r>
    <x v="5"/>
    <x v="5"/>
    <x v="74"/>
    <n v="497.83"/>
  </r>
  <r>
    <x v="2"/>
    <x v="3"/>
    <x v="75"/>
    <n v="59.16"/>
  </r>
  <r>
    <x v="1"/>
    <x v="3"/>
    <x v="76"/>
    <n v="412.3"/>
  </r>
  <r>
    <x v="0"/>
    <x v="3"/>
    <x v="77"/>
    <n v="398.74"/>
  </r>
  <r>
    <x v="3"/>
    <x v="0"/>
    <x v="78"/>
    <n v="454.38"/>
  </r>
  <r>
    <x v="1"/>
    <x v="4"/>
    <x v="79"/>
    <n v="115.31"/>
  </r>
  <r>
    <x v="3"/>
    <x v="5"/>
    <x v="80"/>
    <n v="347.7"/>
  </r>
  <r>
    <x v="4"/>
    <x v="3"/>
    <x v="81"/>
    <n v="483.92"/>
  </r>
  <r>
    <x v="4"/>
    <x v="0"/>
    <x v="40"/>
    <n v="112.62"/>
  </r>
  <r>
    <x v="0"/>
    <x v="3"/>
    <x v="82"/>
    <n v="193.1"/>
  </r>
  <r>
    <x v="5"/>
    <x v="1"/>
    <x v="83"/>
    <n v="276.32"/>
  </r>
  <r>
    <x v="2"/>
    <x v="2"/>
    <x v="84"/>
    <n v="701.71"/>
  </r>
  <r>
    <x v="5"/>
    <x v="0"/>
    <x v="85"/>
    <n v="101.27"/>
  </r>
  <r>
    <x v="3"/>
    <x v="2"/>
    <x v="86"/>
    <n v="514.53"/>
  </r>
  <r>
    <x v="0"/>
    <x v="5"/>
    <x v="87"/>
    <n v="824.94"/>
  </r>
  <r>
    <x v="3"/>
    <x v="4"/>
    <x v="88"/>
    <n v="860.85"/>
  </r>
  <r>
    <x v="0"/>
    <x v="0"/>
    <x v="82"/>
    <n v="385.23"/>
  </r>
  <r>
    <x v="4"/>
    <x v="1"/>
    <x v="89"/>
    <n v="858.57"/>
  </r>
  <r>
    <x v="0"/>
    <x v="4"/>
    <x v="90"/>
    <n v="726.62"/>
  </r>
  <r>
    <x v="5"/>
    <x v="2"/>
    <x v="91"/>
    <n v="971.47"/>
  </r>
  <r>
    <x v="3"/>
    <x v="1"/>
    <x v="92"/>
    <n v="936.34"/>
  </r>
  <r>
    <x v="0"/>
    <x v="4"/>
    <x v="93"/>
    <n v="367.49"/>
  </r>
  <r>
    <x v="5"/>
    <x v="0"/>
    <x v="94"/>
    <n v="187.18"/>
  </r>
  <r>
    <x v="2"/>
    <x v="5"/>
    <x v="95"/>
    <n v="502.6"/>
  </r>
  <r>
    <x v="4"/>
    <x v="5"/>
    <x v="96"/>
    <n v="243.81"/>
  </r>
  <r>
    <x v="5"/>
    <x v="2"/>
    <x v="97"/>
    <n v="69.39"/>
  </r>
  <r>
    <x v="3"/>
    <x v="0"/>
    <x v="98"/>
    <n v="668.22"/>
  </r>
  <r>
    <x v="1"/>
    <x v="0"/>
    <x v="99"/>
    <n v="818.38"/>
  </r>
  <r>
    <x v="4"/>
    <x v="1"/>
    <x v="100"/>
    <n v="113.32"/>
  </r>
  <r>
    <x v="5"/>
    <x v="1"/>
    <x v="101"/>
    <n v="719.42"/>
  </r>
  <r>
    <x v="5"/>
    <x v="3"/>
    <x v="102"/>
    <n v="493.16"/>
  </r>
  <r>
    <x v="0"/>
    <x v="0"/>
    <x v="103"/>
    <n v="286.99"/>
  </r>
  <r>
    <x v="3"/>
    <x v="3"/>
    <x v="104"/>
    <n v="370.28"/>
  </r>
  <r>
    <x v="5"/>
    <x v="1"/>
    <x v="105"/>
    <n v="265.97000000000003"/>
  </r>
  <r>
    <x v="0"/>
    <x v="2"/>
    <x v="104"/>
    <n v="400.67"/>
  </r>
  <r>
    <x v="0"/>
    <x v="1"/>
    <x v="106"/>
    <n v="966.51"/>
  </r>
  <r>
    <x v="3"/>
    <x v="2"/>
    <x v="107"/>
    <n v="702.79"/>
  </r>
  <r>
    <x v="0"/>
    <x v="0"/>
    <x v="108"/>
    <n v="228.04"/>
  </r>
  <r>
    <x v="3"/>
    <x v="0"/>
    <x v="109"/>
    <n v="86.59"/>
  </r>
  <r>
    <x v="3"/>
    <x v="2"/>
    <x v="110"/>
    <n v="223.84"/>
  </r>
  <r>
    <x v="0"/>
    <x v="2"/>
    <x v="111"/>
    <n v="109.16"/>
  </r>
  <r>
    <x v="3"/>
    <x v="3"/>
    <x v="112"/>
    <n v="510.53"/>
  </r>
  <r>
    <x v="4"/>
    <x v="3"/>
    <x v="113"/>
    <n v="210.73"/>
  </r>
  <r>
    <x v="2"/>
    <x v="0"/>
    <x v="114"/>
    <n v="830.48"/>
  </r>
  <r>
    <x v="5"/>
    <x v="3"/>
    <x v="115"/>
    <n v="178.77"/>
  </r>
  <r>
    <x v="3"/>
    <x v="0"/>
    <x v="116"/>
    <n v="113.49"/>
  </r>
  <r>
    <x v="2"/>
    <x v="0"/>
    <x v="117"/>
    <n v="966.92"/>
  </r>
  <r>
    <x v="5"/>
    <x v="2"/>
    <x v="118"/>
    <n v="345.49"/>
  </r>
  <r>
    <x v="4"/>
    <x v="4"/>
    <x v="119"/>
    <n v="112.34"/>
  </r>
  <r>
    <x v="0"/>
    <x v="4"/>
    <x v="69"/>
    <n v="906.16"/>
  </r>
  <r>
    <x v="0"/>
    <x v="3"/>
    <x v="120"/>
    <n v="626.47"/>
  </r>
  <r>
    <x v="2"/>
    <x v="3"/>
    <x v="121"/>
    <n v="588.30999999999995"/>
  </r>
  <r>
    <x v="0"/>
    <x v="0"/>
    <x v="122"/>
    <n v="425.63"/>
  </r>
  <r>
    <x v="2"/>
    <x v="0"/>
    <x v="123"/>
    <n v="434.05"/>
  </r>
  <r>
    <x v="5"/>
    <x v="1"/>
    <x v="124"/>
    <n v="926.15"/>
  </r>
  <r>
    <x v="0"/>
    <x v="2"/>
    <x v="125"/>
    <n v="657.67"/>
  </r>
  <r>
    <x v="5"/>
    <x v="4"/>
    <x v="126"/>
    <n v="211.25"/>
  </r>
  <r>
    <x v="1"/>
    <x v="0"/>
    <x v="127"/>
    <n v="296.25"/>
  </r>
  <r>
    <x v="1"/>
    <x v="4"/>
    <x v="101"/>
    <n v="562.41999999999996"/>
  </r>
  <r>
    <x v="4"/>
    <x v="2"/>
    <x v="128"/>
    <n v="969.24"/>
  </r>
  <r>
    <x v="0"/>
    <x v="1"/>
    <x v="129"/>
    <n v="252.78"/>
  </r>
  <r>
    <x v="1"/>
    <x v="4"/>
    <x v="130"/>
    <n v="222.12"/>
  </r>
  <r>
    <x v="2"/>
    <x v="0"/>
    <x v="131"/>
    <n v="76.75"/>
  </r>
  <r>
    <x v="2"/>
    <x v="5"/>
    <x v="109"/>
    <n v="379.6"/>
  </r>
  <r>
    <x v="0"/>
    <x v="5"/>
    <x v="132"/>
    <n v="304.02"/>
  </r>
  <r>
    <x v="5"/>
    <x v="4"/>
    <x v="133"/>
    <n v="67.98"/>
  </r>
  <r>
    <x v="5"/>
    <x v="3"/>
    <x v="134"/>
    <n v="924.83"/>
  </r>
  <r>
    <x v="1"/>
    <x v="0"/>
    <x v="107"/>
    <n v="744.21"/>
  </r>
  <r>
    <x v="0"/>
    <x v="5"/>
    <x v="135"/>
    <n v="395.98"/>
  </r>
  <r>
    <x v="3"/>
    <x v="1"/>
    <x v="136"/>
    <n v="160.21"/>
  </r>
  <r>
    <x v="1"/>
    <x v="1"/>
    <x v="137"/>
    <n v="278.77"/>
  </r>
  <r>
    <x v="4"/>
    <x v="5"/>
    <x v="138"/>
    <n v="705.7"/>
  </r>
  <r>
    <x v="2"/>
    <x v="4"/>
    <x v="139"/>
    <n v="162.51"/>
  </r>
  <r>
    <x v="3"/>
    <x v="5"/>
    <x v="140"/>
    <n v="550.04999999999995"/>
  </r>
  <r>
    <x v="3"/>
    <x v="1"/>
    <x v="141"/>
    <n v="691.5"/>
  </r>
  <r>
    <x v="0"/>
    <x v="1"/>
    <x v="142"/>
    <n v="540.86"/>
  </r>
  <r>
    <x v="5"/>
    <x v="5"/>
    <x v="143"/>
    <n v="424.94"/>
  </r>
  <r>
    <x v="4"/>
    <x v="0"/>
    <x v="144"/>
    <n v="441.74"/>
  </r>
  <r>
    <x v="3"/>
    <x v="3"/>
    <x v="145"/>
    <n v="416.3"/>
  </r>
  <r>
    <x v="3"/>
    <x v="1"/>
    <x v="146"/>
    <n v="756.59"/>
  </r>
  <r>
    <x v="5"/>
    <x v="0"/>
    <x v="147"/>
    <n v="945.55"/>
  </r>
  <r>
    <x v="5"/>
    <x v="4"/>
    <x v="148"/>
    <n v="121.03"/>
  </r>
  <r>
    <x v="4"/>
    <x v="4"/>
    <x v="65"/>
    <n v="343.33"/>
  </r>
  <r>
    <x v="1"/>
    <x v="0"/>
    <x v="18"/>
    <n v="661.01"/>
  </r>
  <r>
    <x v="4"/>
    <x v="5"/>
    <x v="149"/>
    <n v="196.8"/>
  </r>
  <r>
    <x v="2"/>
    <x v="1"/>
    <x v="150"/>
    <n v="140.47"/>
  </r>
  <r>
    <x v="0"/>
    <x v="3"/>
    <x v="151"/>
    <n v="898.13"/>
  </r>
  <r>
    <x v="5"/>
    <x v="5"/>
    <x v="86"/>
    <n v="481.9"/>
  </r>
  <r>
    <x v="1"/>
    <x v="1"/>
    <x v="152"/>
    <n v="834.8"/>
  </r>
  <r>
    <x v="0"/>
    <x v="3"/>
    <x v="153"/>
    <n v="732.39"/>
  </r>
  <r>
    <x v="4"/>
    <x v="1"/>
    <x v="154"/>
    <n v="160.46"/>
  </r>
  <r>
    <x v="3"/>
    <x v="3"/>
    <x v="155"/>
    <n v="103.76"/>
  </r>
  <r>
    <x v="4"/>
    <x v="4"/>
    <x v="62"/>
    <n v="933.95"/>
  </r>
  <r>
    <x v="2"/>
    <x v="4"/>
    <x v="156"/>
    <n v="692.5"/>
  </r>
  <r>
    <x v="3"/>
    <x v="2"/>
    <x v="157"/>
    <n v="512.96"/>
  </r>
  <r>
    <x v="3"/>
    <x v="5"/>
    <x v="158"/>
    <n v="135.15"/>
  </r>
  <r>
    <x v="3"/>
    <x v="1"/>
    <x v="131"/>
    <n v="644.51"/>
  </r>
  <r>
    <x v="3"/>
    <x v="4"/>
    <x v="159"/>
    <n v="527.45000000000005"/>
  </r>
  <r>
    <x v="5"/>
    <x v="4"/>
    <x v="160"/>
    <n v="630.52"/>
  </r>
  <r>
    <x v="2"/>
    <x v="4"/>
    <x v="161"/>
    <n v="382.73"/>
  </r>
  <r>
    <x v="4"/>
    <x v="1"/>
    <x v="162"/>
    <n v="503.96"/>
  </r>
  <r>
    <x v="3"/>
    <x v="5"/>
    <x v="163"/>
    <n v="821.82"/>
  </r>
  <r>
    <x v="3"/>
    <x v="1"/>
    <x v="23"/>
    <n v="331.81"/>
  </r>
  <r>
    <x v="3"/>
    <x v="2"/>
    <x v="164"/>
    <n v="783.65"/>
  </r>
  <r>
    <x v="1"/>
    <x v="3"/>
    <x v="59"/>
    <n v="461.51"/>
  </r>
  <r>
    <x v="4"/>
    <x v="2"/>
    <x v="79"/>
    <n v="875.75"/>
  </r>
  <r>
    <x v="3"/>
    <x v="2"/>
    <x v="165"/>
    <n v="800.42"/>
  </r>
  <r>
    <x v="1"/>
    <x v="0"/>
    <x v="166"/>
    <n v="406.35"/>
  </r>
  <r>
    <x v="0"/>
    <x v="5"/>
    <x v="167"/>
    <n v="458.64"/>
  </r>
  <r>
    <x v="3"/>
    <x v="4"/>
    <x v="149"/>
    <n v="838.02"/>
  </r>
  <r>
    <x v="4"/>
    <x v="3"/>
    <x v="168"/>
    <n v="332.98"/>
  </r>
  <r>
    <x v="4"/>
    <x v="3"/>
    <x v="169"/>
    <n v="221.97"/>
  </r>
  <r>
    <x v="1"/>
    <x v="5"/>
    <x v="170"/>
    <n v="118.43"/>
  </r>
  <r>
    <x v="2"/>
    <x v="3"/>
    <x v="40"/>
    <n v="453.01"/>
  </r>
  <r>
    <x v="1"/>
    <x v="0"/>
    <x v="171"/>
    <n v="245.42"/>
  </r>
  <r>
    <x v="1"/>
    <x v="1"/>
    <x v="172"/>
    <n v="988.25"/>
  </r>
  <r>
    <x v="2"/>
    <x v="1"/>
    <x v="173"/>
    <n v="554.61"/>
  </r>
  <r>
    <x v="0"/>
    <x v="3"/>
    <x v="174"/>
    <n v="996.14"/>
  </r>
  <r>
    <x v="5"/>
    <x v="0"/>
    <x v="175"/>
    <n v="615.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A064F-9993-415C-A84A-DC790D566862}" name="PivotTable9"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9:Q14" firstHeaderRow="1" firstDataRow="2" firstDataCol="1"/>
  <pivotFields count="7">
    <pivotField showAll="0">
      <items count="7">
        <item x="1"/>
        <item x="2"/>
        <item x="4"/>
        <item x="5"/>
        <item x="0"/>
        <item x="3"/>
        <item t="default"/>
      </items>
    </pivotField>
    <pivotField axis="axisCol" showAll="0">
      <items count="7">
        <item x="1"/>
        <item x="2"/>
        <item x="0"/>
        <item x="3"/>
        <item x="4"/>
        <item x="5"/>
        <item t="default"/>
      </items>
    </pivotField>
    <pivotField numFmtId="14" showAll="0">
      <items count="177">
        <item x="159"/>
        <item x="141"/>
        <item x="102"/>
        <item x="64"/>
        <item x="42"/>
        <item x="29"/>
        <item x="107"/>
        <item x="142"/>
        <item x="152"/>
        <item x="44"/>
        <item x="134"/>
        <item x="104"/>
        <item x="17"/>
        <item x="51"/>
        <item x="106"/>
        <item x="112"/>
        <item x="143"/>
        <item x="61"/>
        <item x="105"/>
        <item x="99"/>
        <item x="52"/>
        <item x="2"/>
        <item x="31"/>
        <item x="88"/>
        <item x="5"/>
        <item x="174"/>
        <item x="126"/>
        <item x="148"/>
        <item x="62"/>
        <item x="82"/>
        <item x="161"/>
        <item x="7"/>
        <item x="15"/>
        <item x="38"/>
        <item x="139"/>
        <item x="6"/>
        <item x="95"/>
        <item x="22"/>
        <item x="113"/>
        <item x="114"/>
        <item x="73"/>
        <item x="100"/>
        <item x="54"/>
        <item x="172"/>
        <item x="8"/>
        <item x="138"/>
        <item x="166"/>
        <item x="33"/>
        <item x="125"/>
        <item x="1"/>
        <item x="90"/>
        <item x="12"/>
        <item x="135"/>
        <item x="117"/>
        <item x="123"/>
        <item x="80"/>
        <item x="175"/>
        <item x="160"/>
        <item x="129"/>
        <item x="167"/>
        <item x="128"/>
        <item x="21"/>
        <item x="173"/>
        <item x="155"/>
        <item x="87"/>
        <item x="24"/>
        <item x="115"/>
        <item x="0"/>
        <item x="19"/>
        <item x="43"/>
        <item x="122"/>
        <item x="81"/>
        <item x="136"/>
        <item x="84"/>
        <item x="13"/>
        <item x="36"/>
        <item x="163"/>
        <item x="165"/>
        <item x="34"/>
        <item x="98"/>
        <item x="76"/>
        <item x="157"/>
        <item x="97"/>
        <item x="119"/>
        <item x="25"/>
        <item x="91"/>
        <item x="45"/>
        <item x="140"/>
        <item x="164"/>
        <item x="14"/>
        <item x="79"/>
        <item x="39"/>
        <item x="77"/>
        <item x="65"/>
        <item x="111"/>
        <item x="127"/>
        <item x="96"/>
        <item x="56"/>
        <item x="169"/>
        <item x="118"/>
        <item x="150"/>
        <item x="171"/>
        <item x="47"/>
        <item x="120"/>
        <item x="18"/>
        <item x="110"/>
        <item x="89"/>
        <item x="78"/>
        <item x="53"/>
        <item x="93"/>
        <item x="147"/>
        <item x="156"/>
        <item x="72"/>
        <item x="153"/>
        <item x="30"/>
        <item x="124"/>
        <item x="58"/>
        <item x="162"/>
        <item x="26"/>
        <item x="170"/>
        <item x="130"/>
        <item x="74"/>
        <item x="23"/>
        <item x="49"/>
        <item x="131"/>
        <item x="63"/>
        <item x="133"/>
        <item x="116"/>
        <item x="11"/>
        <item x="4"/>
        <item x="27"/>
        <item x="145"/>
        <item x="70"/>
        <item x="151"/>
        <item x="60"/>
        <item x="59"/>
        <item x="28"/>
        <item x="103"/>
        <item x="83"/>
        <item x="9"/>
        <item x="146"/>
        <item x="94"/>
        <item x="48"/>
        <item x="121"/>
        <item x="149"/>
        <item x="108"/>
        <item x="68"/>
        <item x="10"/>
        <item x="144"/>
        <item x="40"/>
        <item x="16"/>
        <item x="101"/>
        <item x="92"/>
        <item x="37"/>
        <item x="86"/>
        <item x="132"/>
        <item x="35"/>
        <item x="66"/>
        <item x="154"/>
        <item x="71"/>
        <item x="109"/>
        <item x="67"/>
        <item x="75"/>
        <item x="85"/>
        <item x="57"/>
        <item x="41"/>
        <item x="168"/>
        <item x="3"/>
        <item x="158"/>
        <item x="20"/>
        <item x="137"/>
        <item x="55"/>
        <item x="69"/>
        <item x="46"/>
        <item x="32"/>
        <item x="50"/>
        <item t="default"/>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6"/>
  </rowFields>
  <rowItems count="4">
    <i>
      <x v="1"/>
    </i>
    <i>
      <x v="2"/>
    </i>
    <i>
      <x v="3"/>
    </i>
    <i t="grand">
      <x/>
    </i>
  </rowItems>
  <colFields count="1">
    <field x="1"/>
  </colFields>
  <colItems count="7">
    <i>
      <x/>
    </i>
    <i>
      <x v="1"/>
    </i>
    <i>
      <x v="2"/>
    </i>
    <i>
      <x v="3"/>
    </i>
    <i>
      <x v="4"/>
    </i>
    <i>
      <x v="5"/>
    </i>
    <i t="grand">
      <x/>
    </i>
  </colItems>
  <dataFields count="1">
    <dataField name="Sum of Importo" fld="3" baseField="0" baseItem="0" numFmtId="44"/>
  </dataFields>
  <chartFormats count="16">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5" format="2" series="1">
      <pivotArea type="data" outline="0" fieldPosition="0">
        <references count="2">
          <reference field="4294967294" count="1" selected="0">
            <x v="0"/>
          </reference>
          <reference field="1" count="1" selected="0">
            <x v="2"/>
          </reference>
        </references>
      </pivotArea>
    </chartFormat>
    <chartFormat chart="15" format="3" series="1">
      <pivotArea type="data" outline="0" fieldPosition="0">
        <references count="2">
          <reference field="4294967294" count="1" selected="0">
            <x v="0"/>
          </reference>
          <reference field="1" count="1" selected="0">
            <x v="3"/>
          </reference>
        </references>
      </pivotArea>
    </chartFormat>
    <chartFormat chart="15" format="4" series="1">
      <pivotArea type="data" outline="0" fieldPosition="0">
        <references count="2">
          <reference field="4294967294" count="1" selected="0">
            <x v="0"/>
          </reference>
          <reference field="1" count="1" selected="0">
            <x v="4"/>
          </reference>
        </references>
      </pivotArea>
    </chartFormat>
    <chartFormat chart="15" format="5" series="1">
      <pivotArea type="data" outline="0" fieldPosition="0">
        <references count="2">
          <reference field="4294967294" count="1" selected="0">
            <x v="0"/>
          </reference>
          <reference field="1" count="1" selected="0">
            <x v="5"/>
          </reference>
        </references>
      </pivotArea>
    </chartFormat>
    <chartFormat chart="18" format="12" series="1">
      <pivotArea type="data" outline="0" fieldPosition="0">
        <references count="2">
          <reference field="4294967294" count="1" selected="0">
            <x v="0"/>
          </reference>
          <reference field="1" count="1" selected="0">
            <x v="0"/>
          </reference>
        </references>
      </pivotArea>
    </chartFormat>
    <chartFormat chart="18" format="13" series="1">
      <pivotArea type="data" outline="0" fieldPosition="0">
        <references count="2">
          <reference field="4294967294" count="1" selected="0">
            <x v="0"/>
          </reference>
          <reference field="1" count="1" selected="0">
            <x v="1"/>
          </reference>
        </references>
      </pivotArea>
    </chartFormat>
    <chartFormat chart="18" format="14" series="1">
      <pivotArea type="data" outline="0" fieldPosition="0">
        <references count="2">
          <reference field="4294967294" count="1" selected="0">
            <x v="0"/>
          </reference>
          <reference field="1" count="1" selected="0">
            <x v="2"/>
          </reference>
        </references>
      </pivotArea>
    </chartFormat>
    <chartFormat chart="18" format="15" series="1">
      <pivotArea type="data" outline="0" fieldPosition="0">
        <references count="2">
          <reference field="4294967294" count="1" selected="0">
            <x v="0"/>
          </reference>
          <reference field="1" count="1" selected="0">
            <x v="3"/>
          </reference>
        </references>
      </pivotArea>
    </chartFormat>
    <chartFormat chart="18" format="16" series="1">
      <pivotArea type="data" outline="0" fieldPosition="0">
        <references count="2">
          <reference field="4294967294" count="1" selected="0">
            <x v="0"/>
          </reference>
          <reference field="1" count="1" selected="0">
            <x v="4"/>
          </reference>
        </references>
      </pivotArea>
    </chartFormat>
    <chartFormat chart="18"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7A46A1-4349-42E8-9905-C955993389BF}" name="PivotTable8"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1:Q6" firstHeaderRow="1" firstDataRow="2" firstDataCol="1"/>
  <pivotFields count="7">
    <pivotField axis="axisCol" showAll="0">
      <items count="7">
        <item x="1"/>
        <item x="2"/>
        <item x="4"/>
        <item x="5"/>
        <item x="0"/>
        <item x="3"/>
        <item t="default"/>
      </items>
    </pivotField>
    <pivotField showAll="0">
      <items count="7">
        <item x="1"/>
        <item x="2"/>
        <item x="0"/>
        <item x="3"/>
        <item x="4"/>
        <item x="5"/>
        <item t="default"/>
      </items>
    </pivotField>
    <pivotField numFmtId="14" showAll="0">
      <items count="177">
        <item x="159"/>
        <item x="141"/>
        <item x="102"/>
        <item x="64"/>
        <item x="42"/>
        <item x="29"/>
        <item x="107"/>
        <item x="142"/>
        <item x="152"/>
        <item x="44"/>
        <item x="134"/>
        <item x="104"/>
        <item x="17"/>
        <item x="51"/>
        <item x="106"/>
        <item x="112"/>
        <item x="143"/>
        <item x="61"/>
        <item x="105"/>
        <item x="99"/>
        <item x="52"/>
        <item x="2"/>
        <item x="31"/>
        <item x="88"/>
        <item x="5"/>
        <item x="174"/>
        <item x="126"/>
        <item x="148"/>
        <item x="62"/>
        <item x="82"/>
        <item x="161"/>
        <item x="7"/>
        <item x="15"/>
        <item x="38"/>
        <item x="139"/>
        <item x="6"/>
        <item x="95"/>
        <item x="22"/>
        <item x="113"/>
        <item x="114"/>
        <item x="73"/>
        <item x="100"/>
        <item x="54"/>
        <item x="172"/>
        <item x="8"/>
        <item x="138"/>
        <item x="166"/>
        <item x="33"/>
        <item x="125"/>
        <item x="1"/>
        <item x="90"/>
        <item x="12"/>
        <item x="135"/>
        <item x="117"/>
        <item x="123"/>
        <item x="80"/>
        <item x="175"/>
        <item x="160"/>
        <item x="129"/>
        <item x="167"/>
        <item x="128"/>
        <item x="21"/>
        <item x="173"/>
        <item x="155"/>
        <item x="87"/>
        <item x="24"/>
        <item x="115"/>
        <item x="0"/>
        <item x="19"/>
        <item x="43"/>
        <item x="122"/>
        <item x="81"/>
        <item x="136"/>
        <item x="84"/>
        <item x="13"/>
        <item x="36"/>
        <item x="163"/>
        <item x="165"/>
        <item x="34"/>
        <item x="98"/>
        <item x="76"/>
        <item x="157"/>
        <item x="97"/>
        <item x="119"/>
        <item x="25"/>
        <item x="91"/>
        <item x="45"/>
        <item x="140"/>
        <item x="164"/>
        <item x="14"/>
        <item x="79"/>
        <item x="39"/>
        <item x="77"/>
        <item x="65"/>
        <item x="111"/>
        <item x="127"/>
        <item x="96"/>
        <item x="56"/>
        <item x="169"/>
        <item x="118"/>
        <item x="150"/>
        <item x="171"/>
        <item x="47"/>
        <item x="120"/>
        <item x="18"/>
        <item x="110"/>
        <item x="89"/>
        <item x="78"/>
        <item x="53"/>
        <item x="93"/>
        <item x="147"/>
        <item x="156"/>
        <item x="72"/>
        <item x="153"/>
        <item x="30"/>
        <item x="124"/>
        <item x="58"/>
        <item x="162"/>
        <item x="26"/>
        <item x="170"/>
        <item x="130"/>
        <item x="74"/>
        <item x="23"/>
        <item x="49"/>
        <item x="131"/>
        <item x="63"/>
        <item x="133"/>
        <item x="116"/>
        <item x="11"/>
        <item x="4"/>
        <item x="27"/>
        <item x="145"/>
        <item x="70"/>
        <item x="151"/>
        <item x="60"/>
        <item x="59"/>
        <item x="28"/>
        <item x="103"/>
        <item x="83"/>
        <item x="9"/>
        <item x="146"/>
        <item x="94"/>
        <item x="48"/>
        <item x="121"/>
        <item x="149"/>
        <item x="108"/>
        <item x="68"/>
        <item x="10"/>
        <item x="144"/>
        <item x="40"/>
        <item x="16"/>
        <item x="101"/>
        <item x="92"/>
        <item x="37"/>
        <item x="86"/>
        <item x="132"/>
        <item x="35"/>
        <item x="66"/>
        <item x="154"/>
        <item x="71"/>
        <item x="109"/>
        <item x="67"/>
        <item x="75"/>
        <item x="85"/>
        <item x="57"/>
        <item x="41"/>
        <item x="168"/>
        <item x="3"/>
        <item x="158"/>
        <item x="20"/>
        <item x="137"/>
        <item x="55"/>
        <item x="69"/>
        <item x="46"/>
        <item x="32"/>
        <item x="50"/>
        <item t="default"/>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6"/>
  </rowFields>
  <rowItems count="4">
    <i>
      <x v="1"/>
    </i>
    <i>
      <x v="2"/>
    </i>
    <i>
      <x v="3"/>
    </i>
    <i t="grand">
      <x/>
    </i>
  </rowItems>
  <colFields count="1">
    <field x="0"/>
  </colFields>
  <colItems count="7">
    <i>
      <x/>
    </i>
    <i>
      <x v="1"/>
    </i>
    <i>
      <x v="2"/>
    </i>
    <i>
      <x v="3"/>
    </i>
    <i>
      <x v="4"/>
    </i>
    <i>
      <x v="5"/>
    </i>
    <i t="grand">
      <x/>
    </i>
  </colItems>
  <dataFields count="1">
    <dataField name="Sum of Importo" fld="3" baseField="0" baseItem="0" numFmtId="44"/>
  </dataFields>
  <chartFormats count="16">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 chart="10" format="12">
      <pivotArea type="data" outline="0" fieldPosition="0">
        <references count="2">
          <reference field="4294967294" count="1" selected="0">
            <x v="0"/>
          </reference>
          <reference field="0" count="1" selected="0">
            <x v="3"/>
          </reference>
        </references>
      </pivotArea>
    </chartFormat>
    <chartFormat chart="10" format="13">
      <pivotArea type="data" outline="0" fieldPosition="0">
        <references count="2">
          <reference field="4294967294" count="1" selected="0">
            <x v="0"/>
          </reference>
          <reference field="0" count="1" selected="0">
            <x v="4"/>
          </reference>
        </references>
      </pivotArea>
    </chartFormat>
    <chartFormat chart="10" format="14">
      <pivotArea type="data" outline="0" fieldPosition="0">
        <references count="2">
          <reference field="4294967294" count="1" selected="0">
            <x v="0"/>
          </reference>
          <reference field="0" count="1" selected="0">
            <x v="5"/>
          </reference>
        </references>
      </pivotArea>
    </chartFormat>
    <chartFormat chart="14" format="12" series="1">
      <pivotArea type="data" outline="0" fieldPosition="0">
        <references count="2">
          <reference field="4294967294" count="1" selected="0">
            <x v="0"/>
          </reference>
          <reference field="0" count="1" selected="0">
            <x v="0"/>
          </reference>
        </references>
      </pivotArea>
    </chartFormat>
    <chartFormat chart="14" format="13" series="1">
      <pivotArea type="data" outline="0" fieldPosition="0">
        <references count="2">
          <reference field="4294967294" count="1" selected="0">
            <x v="0"/>
          </reference>
          <reference field="0" count="1" selected="0">
            <x v="1"/>
          </reference>
        </references>
      </pivotArea>
    </chartFormat>
    <chartFormat chart="14" format="14" series="1">
      <pivotArea type="data" outline="0" fieldPosition="0">
        <references count="2">
          <reference field="4294967294" count="1" selected="0">
            <x v="0"/>
          </reference>
          <reference field="0" count="1" selected="0">
            <x v="2"/>
          </reference>
        </references>
      </pivotArea>
    </chartFormat>
    <chartFormat chart="14" format="15" series="1">
      <pivotArea type="data" outline="0" fieldPosition="0">
        <references count="2">
          <reference field="4294967294" count="1" selected="0">
            <x v="0"/>
          </reference>
          <reference field="0" count="1" selected="0">
            <x v="3"/>
          </reference>
        </references>
      </pivotArea>
    </chartFormat>
    <chartFormat chart="14" format="16" series="1">
      <pivotArea type="data" outline="0" fieldPosition="0">
        <references count="2">
          <reference field="4294967294" count="1" selected="0">
            <x v="0"/>
          </reference>
          <reference field="0" count="1" selected="0">
            <x v="4"/>
          </reference>
        </references>
      </pivotArea>
    </chartFormat>
    <chartFormat chart="14" format="17"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779660-1E55-4564-8AAB-67A9BF00FAF4}" name="PivotTable7"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12:G19" firstHeaderRow="1" firstDataRow="1" firstDataCol="1"/>
  <pivotFields count="7">
    <pivotField showAll="0">
      <items count="7">
        <item x="1"/>
        <item x="2"/>
        <item x="4"/>
        <item x="5"/>
        <item x="0"/>
        <item x="3"/>
        <item t="default"/>
      </items>
    </pivotField>
    <pivotField axis="axisRow" showAll="0">
      <items count="7">
        <item x="1"/>
        <item x="2"/>
        <item x="0"/>
        <item x="3"/>
        <item x="4"/>
        <item x="5"/>
        <item t="default"/>
      </items>
    </pivotField>
    <pivotField numFmtId="14" showAll="0">
      <items count="177">
        <item x="159"/>
        <item x="141"/>
        <item x="102"/>
        <item x="64"/>
        <item x="42"/>
        <item x="29"/>
        <item x="107"/>
        <item x="142"/>
        <item x="152"/>
        <item x="44"/>
        <item x="134"/>
        <item x="104"/>
        <item x="17"/>
        <item x="51"/>
        <item x="106"/>
        <item x="112"/>
        <item x="143"/>
        <item x="61"/>
        <item x="105"/>
        <item x="99"/>
        <item x="52"/>
        <item x="2"/>
        <item x="31"/>
        <item x="88"/>
        <item x="5"/>
        <item x="174"/>
        <item x="126"/>
        <item x="148"/>
        <item x="62"/>
        <item x="82"/>
        <item x="161"/>
        <item x="7"/>
        <item x="15"/>
        <item x="38"/>
        <item x="139"/>
        <item x="6"/>
        <item x="95"/>
        <item x="22"/>
        <item x="113"/>
        <item x="114"/>
        <item x="73"/>
        <item x="100"/>
        <item x="54"/>
        <item x="172"/>
        <item x="8"/>
        <item x="138"/>
        <item x="166"/>
        <item x="33"/>
        <item x="125"/>
        <item x="1"/>
        <item x="90"/>
        <item x="12"/>
        <item x="135"/>
        <item x="117"/>
        <item x="123"/>
        <item x="80"/>
        <item x="175"/>
        <item x="160"/>
        <item x="129"/>
        <item x="167"/>
        <item x="128"/>
        <item x="21"/>
        <item x="173"/>
        <item x="155"/>
        <item x="87"/>
        <item x="24"/>
        <item x="115"/>
        <item x="0"/>
        <item x="19"/>
        <item x="43"/>
        <item x="122"/>
        <item x="81"/>
        <item x="136"/>
        <item x="84"/>
        <item x="13"/>
        <item x="36"/>
        <item x="163"/>
        <item x="165"/>
        <item x="34"/>
        <item x="98"/>
        <item x="76"/>
        <item x="157"/>
        <item x="97"/>
        <item x="119"/>
        <item x="25"/>
        <item x="91"/>
        <item x="45"/>
        <item x="140"/>
        <item x="164"/>
        <item x="14"/>
        <item x="79"/>
        <item x="39"/>
        <item x="77"/>
        <item x="65"/>
        <item x="111"/>
        <item x="127"/>
        <item x="96"/>
        <item x="56"/>
        <item x="169"/>
        <item x="118"/>
        <item x="150"/>
        <item x="171"/>
        <item x="47"/>
        <item x="120"/>
        <item x="18"/>
        <item x="110"/>
        <item x="89"/>
        <item x="78"/>
        <item x="53"/>
        <item x="93"/>
        <item x="147"/>
        <item x="156"/>
        <item x="72"/>
        <item x="153"/>
        <item x="30"/>
        <item x="124"/>
        <item x="58"/>
        <item x="162"/>
        <item x="26"/>
        <item x="170"/>
        <item x="130"/>
        <item x="74"/>
        <item x="23"/>
        <item x="49"/>
        <item x="131"/>
        <item x="63"/>
        <item x="133"/>
        <item x="116"/>
        <item x="11"/>
        <item x="4"/>
        <item x="27"/>
        <item x="145"/>
        <item x="70"/>
        <item x="151"/>
        <item x="60"/>
        <item x="59"/>
        <item x="28"/>
        <item x="103"/>
        <item x="83"/>
        <item x="9"/>
        <item x="146"/>
        <item x="94"/>
        <item x="48"/>
        <item x="121"/>
        <item x="149"/>
        <item x="108"/>
        <item x="68"/>
        <item x="10"/>
        <item x="144"/>
        <item x="40"/>
        <item x="16"/>
        <item x="101"/>
        <item x="92"/>
        <item x="37"/>
        <item x="86"/>
        <item x="132"/>
        <item x="35"/>
        <item x="66"/>
        <item x="154"/>
        <item x="71"/>
        <item x="109"/>
        <item x="67"/>
        <item x="75"/>
        <item x="85"/>
        <item x="57"/>
        <item x="41"/>
        <item x="168"/>
        <item x="3"/>
        <item x="158"/>
        <item x="20"/>
        <item x="137"/>
        <item x="55"/>
        <item x="69"/>
        <item x="46"/>
        <item x="32"/>
        <item x="50"/>
        <item t="default"/>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Importo" fld="3" showDataAs="percentOfTotal" baseField="0" baseItem="0" numFmtId="10"/>
  </dataFields>
  <chartFormats count="11">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 count="1" selected="0">
            <x v="0"/>
          </reference>
        </references>
      </pivotArea>
    </chartFormat>
    <chartFormat chart="16" format="10">
      <pivotArea type="data" outline="0" fieldPosition="0">
        <references count="2">
          <reference field="4294967294" count="1" selected="0">
            <x v="0"/>
          </reference>
          <reference field="1" count="1" selected="0">
            <x v="1"/>
          </reference>
        </references>
      </pivotArea>
    </chartFormat>
    <chartFormat chart="16" format="11">
      <pivotArea type="data" outline="0" fieldPosition="0">
        <references count="2">
          <reference field="4294967294" count="1" selected="0">
            <x v="0"/>
          </reference>
          <reference field="1" count="1" selected="0">
            <x v="2"/>
          </reference>
        </references>
      </pivotArea>
    </chartFormat>
    <chartFormat chart="16" format="12">
      <pivotArea type="data" outline="0" fieldPosition="0">
        <references count="2">
          <reference field="4294967294" count="1" selected="0">
            <x v="0"/>
          </reference>
          <reference field="1" count="1" selected="0">
            <x v="3"/>
          </reference>
        </references>
      </pivotArea>
    </chartFormat>
    <chartFormat chart="16" format="13">
      <pivotArea type="data" outline="0" fieldPosition="0">
        <references count="2">
          <reference field="4294967294" count="1" selected="0">
            <x v="0"/>
          </reference>
          <reference field="1" count="1" selected="0">
            <x v="4"/>
          </reference>
        </references>
      </pivotArea>
    </chartFormat>
    <chartFormat chart="16"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18267-CB82-44D9-B547-5B7777737D14}" name="PivotTable6"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G8" firstHeaderRow="1" firstDataRow="1" firstDataCol="1"/>
  <pivotFields count="7">
    <pivotField axis="axisRow" showAll="0">
      <items count="7">
        <item x="1"/>
        <item x="2"/>
        <item x="4"/>
        <item x="5"/>
        <item x="0"/>
        <item x="3"/>
        <item t="default"/>
      </items>
    </pivotField>
    <pivotField showAll="0">
      <items count="7">
        <item x="1"/>
        <item x="2"/>
        <item x="0"/>
        <item x="3"/>
        <item x="4"/>
        <item x="5"/>
        <item t="default"/>
      </items>
    </pivotField>
    <pivotField numFmtId="14" showAll="0">
      <items count="177">
        <item x="159"/>
        <item x="141"/>
        <item x="102"/>
        <item x="64"/>
        <item x="42"/>
        <item x="29"/>
        <item x="107"/>
        <item x="142"/>
        <item x="152"/>
        <item x="44"/>
        <item x="134"/>
        <item x="104"/>
        <item x="17"/>
        <item x="51"/>
        <item x="106"/>
        <item x="112"/>
        <item x="143"/>
        <item x="61"/>
        <item x="105"/>
        <item x="99"/>
        <item x="52"/>
        <item x="2"/>
        <item x="31"/>
        <item x="88"/>
        <item x="5"/>
        <item x="174"/>
        <item x="126"/>
        <item x="148"/>
        <item x="62"/>
        <item x="82"/>
        <item x="161"/>
        <item x="7"/>
        <item x="15"/>
        <item x="38"/>
        <item x="139"/>
        <item x="6"/>
        <item x="95"/>
        <item x="22"/>
        <item x="113"/>
        <item x="114"/>
        <item x="73"/>
        <item x="100"/>
        <item x="54"/>
        <item x="172"/>
        <item x="8"/>
        <item x="138"/>
        <item x="166"/>
        <item x="33"/>
        <item x="125"/>
        <item x="1"/>
        <item x="90"/>
        <item x="12"/>
        <item x="135"/>
        <item x="117"/>
        <item x="123"/>
        <item x="80"/>
        <item x="175"/>
        <item x="160"/>
        <item x="129"/>
        <item x="167"/>
        <item x="128"/>
        <item x="21"/>
        <item x="173"/>
        <item x="155"/>
        <item x="87"/>
        <item x="24"/>
        <item x="115"/>
        <item x="0"/>
        <item x="19"/>
        <item x="43"/>
        <item x="122"/>
        <item x="81"/>
        <item x="136"/>
        <item x="84"/>
        <item x="13"/>
        <item x="36"/>
        <item x="163"/>
        <item x="165"/>
        <item x="34"/>
        <item x="98"/>
        <item x="76"/>
        <item x="157"/>
        <item x="97"/>
        <item x="119"/>
        <item x="25"/>
        <item x="91"/>
        <item x="45"/>
        <item x="140"/>
        <item x="164"/>
        <item x="14"/>
        <item x="79"/>
        <item x="39"/>
        <item x="77"/>
        <item x="65"/>
        <item x="111"/>
        <item x="127"/>
        <item x="96"/>
        <item x="56"/>
        <item x="169"/>
        <item x="118"/>
        <item x="150"/>
        <item x="171"/>
        <item x="47"/>
        <item x="120"/>
        <item x="18"/>
        <item x="110"/>
        <item x="89"/>
        <item x="78"/>
        <item x="53"/>
        <item x="93"/>
        <item x="147"/>
        <item x="156"/>
        <item x="72"/>
        <item x="153"/>
        <item x="30"/>
        <item x="124"/>
        <item x="58"/>
        <item x="162"/>
        <item x="26"/>
        <item x="170"/>
        <item x="130"/>
        <item x="74"/>
        <item x="23"/>
        <item x="49"/>
        <item x="131"/>
        <item x="63"/>
        <item x="133"/>
        <item x="116"/>
        <item x="11"/>
        <item x="4"/>
        <item x="27"/>
        <item x="145"/>
        <item x="70"/>
        <item x="151"/>
        <item x="60"/>
        <item x="59"/>
        <item x="28"/>
        <item x="103"/>
        <item x="83"/>
        <item x="9"/>
        <item x="146"/>
        <item x="94"/>
        <item x="48"/>
        <item x="121"/>
        <item x="149"/>
        <item x="108"/>
        <item x="68"/>
        <item x="10"/>
        <item x="144"/>
        <item x="40"/>
        <item x="16"/>
        <item x="101"/>
        <item x="92"/>
        <item x="37"/>
        <item x="86"/>
        <item x="132"/>
        <item x="35"/>
        <item x="66"/>
        <item x="154"/>
        <item x="71"/>
        <item x="109"/>
        <item x="67"/>
        <item x="75"/>
        <item x="85"/>
        <item x="57"/>
        <item x="41"/>
        <item x="168"/>
        <item x="3"/>
        <item x="158"/>
        <item x="20"/>
        <item x="137"/>
        <item x="55"/>
        <item x="69"/>
        <item x="46"/>
        <item x="32"/>
        <item x="50"/>
        <item t="default"/>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i>
    <i>
      <x v="1"/>
    </i>
    <i>
      <x v="2"/>
    </i>
    <i>
      <x v="3"/>
    </i>
    <i>
      <x v="4"/>
    </i>
    <i>
      <x v="5"/>
    </i>
    <i t="grand">
      <x/>
    </i>
  </rowItems>
  <colItems count="1">
    <i/>
  </colItems>
  <dataFields count="1">
    <dataField name="Sum of Importo" fld="3" showDataAs="percentOfTotal" baseField="0" baseItem="0" numFmtId="10"/>
  </dataFields>
  <chartFormats count="9">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 chart="10" format="12">
      <pivotArea type="data" outline="0" fieldPosition="0">
        <references count="2">
          <reference field="4294967294" count="1" selected="0">
            <x v="0"/>
          </reference>
          <reference field="0" count="1" selected="0">
            <x v="3"/>
          </reference>
        </references>
      </pivotArea>
    </chartFormat>
    <chartFormat chart="10" format="13">
      <pivotArea type="data" outline="0" fieldPosition="0">
        <references count="2">
          <reference field="4294967294" count="1" selected="0">
            <x v="0"/>
          </reference>
          <reference field="0" count="1" selected="0">
            <x v="4"/>
          </reference>
        </references>
      </pivotArea>
    </chartFormat>
    <chartFormat chart="10" format="1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2DB904-88B3-44EF-AC99-5058C5CACF21}" name="PivotTable5"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4" firstHeaderRow="1" firstDataRow="1" firstDataCol="1"/>
  <pivotFields count="7">
    <pivotField axis="axisRow" showAll="0">
      <items count="7">
        <item x="1"/>
        <item x="2"/>
        <item x="4"/>
        <item x="5"/>
        <item x="0"/>
        <item x="3"/>
        <item t="default"/>
      </items>
    </pivotField>
    <pivotField axis="axisRow" showAll="0">
      <items count="7">
        <item x="1"/>
        <item x="2"/>
        <item x="0"/>
        <item x="3"/>
        <item x="4"/>
        <item x="5"/>
        <item t="default"/>
      </items>
    </pivotField>
    <pivotField numFmtId="14" showAll="0">
      <items count="177">
        <item x="159"/>
        <item x="141"/>
        <item x="102"/>
        <item x="64"/>
        <item x="42"/>
        <item x="29"/>
        <item x="107"/>
        <item x="142"/>
        <item x="152"/>
        <item x="44"/>
        <item x="134"/>
        <item x="104"/>
        <item x="17"/>
        <item x="51"/>
        <item x="106"/>
        <item x="112"/>
        <item x="143"/>
        <item x="61"/>
        <item x="105"/>
        <item x="99"/>
        <item x="52"/>
        <item x="2"/>
        <item x="31"/>
        <item x="88"/>
        <item x="5"/>
        <item x="174"/>
        <item x="126"/>
        <item x="148"/>
        <item x="62"/>
        <item x="82"/>
        <item x="161"/>
        <item x="7"/>
        <item x="15"/>
        <item x="38"/>
        <item x="139"/>
        <item x="6"/>
        <item x="95"/>
        <item x="22"/>
        <item x="113"/>
        <item x="114"/>
        <item x="73"/>
        <item x="100"/>
        <item x="54"/>
        <item x="172"/>
        <item x="8"/>
        <item x="138"/>
        <item x="166"/>
        <item x="33"/>
        <item x="125"/>
        <item x="1"/>
        <item x="90"/>
        <item x="12"/>
        <item x="135"/>
        <item x="117"/>
        <item x="123"/>
        <item x="80"/>
        <item x="175"/>
        <item x="160"/>
        <item x="129"/>
        <item x="167"/>
        <item x="128"/>
        <item x="21"/>
        <item x="173"/>
        <item x="155"/>
        <item x="87"/>
        <item x="24"/>
        <item x="115"/>
        <item x="0"/>
        <item x="19"/>
        <item x="43"/>
        <item x="122"/>
        <item x="81"/>
        <item x="136"/>
        <item x="84"/>
        <item x="13"/>
        <item x="36"/>
        <item x="163"/>
        <item x="165"/>
        <item x="34"/>
        <item x="98"/>
        <item x="76"/>
        <item x="157"/>
        <item x="97"/>
        <item x="119"/>
        <item x="25"/>
        <item x="91"/>
        <item x="45"/>
        <item x="140"/>
        <item x="164"/>
        <item x="14"/>
        <item x="79"/>
        <item x="39"/>
        <item x="77"/>
        <item x="65"/>
        <item x="111"/>
        <item x="127"/>
        <item x="96"/>
        <item x="56"/>
        <item x="169"/>
        <item x="118"/>
        <item x="150"/>
        <item x="171"/>
        <item x="47"/>
        <item x="120"/>
        <item x="18"/>
        <item x="110"/>
        <item x="89"/>
        <item x="78"/>
        <item x="53"/>
        <item x="93"/>
        <item x="147"/>
        <item x="156"/>
        <item x="72"/>
        <item x="153"/>
        <item x="30"/>
        <item x="124"/>
        <item x="58"/>
        <item x="162"/>
        <item x="26"/>
        <item x="170"/>
        <item x="130"/>
        <item x="74"/>
        <item x="23"/>
        <item x="49"/>
        <item x="131"/>
        <item x="63"/>
        <item x="133"/>
        <item x="116"/>
        <item x="11"/>
        <item x="4"/>
        <item x="27"/>
        <item x="145"/>
        <item x="70"/>
        <item x="151"/>
        <item x="60"/>
        <item x="59"/>
        <item x="28"/>
        <item x="103"/>
        <item x="83"/>
        <item x="9"/>
        <item x="146"/>
        <item x="94"/>
        <item x="48"/>
        <item x="121"/>
        <item x="149"/>
        <item x="108"/>
        <item x="68"/>
        <item x="10"/>
        <item x="144"/>
        <item x="40"/>
        <item x="16"/>
        <item x="101"/>
        <item x="92"/>
        <item x="37"/>
        <item x="86"/>
        <item x="132"/>
        <item x="35"/>
        <item x="66"/>
        <item x="154"/>
        <item x="71"/>
        <item x="109"/>
        <item x="67"/>
        <item x="75"/>
        <item x="85"/>
        <item x="57"/>
        <item x="41"/>
        <item x="168"/>
        <item x="3"/>
        <item x="158"/>
        <item x="20"/>
        <item x="137"/>
        <item x="55"/>
        <item x="69"/>
        <item x="46"/>
        <item x="32"/>
        <item x="50"/>
        <item t="default"/>
      </items>
    </pivotField>
    <pivotField dataField="1"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0"/>
    <field x="1"/>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Items count="1">
    <i/>
  </colItems>
  <dataFields count="1">
    <dataField name="Sum of Importo" fld="3" baseField="0" baseItem="0" numFmtId="44"/>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a" xr10:uid="{E9564D6E-DC98-432B-808C-B18FDC702D2A}" sourceName="Years (Data)">
  <pivotTables>
    <pivotTable tabId="17" name="PivotTable5"/>
    <pivotTable tabId="17" name="PivotTable6"/>
    <pivotTable tabId="17" name="PivotTable7"/>
  </pivotTables>
  <data>
    <tabular pivotCacheId="52401320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colo" xr10:uid="{4F5EB475-AA0A-4F67-B3D6-A07F9249EB36}" sourceName="Articolo">
  <pivotTables>
    <pivotTable tabId="17" name="PivotTable8"/>
    <pivotTable tabId="17" name="PivotTable5"/>
    <pivotTable tabId="17" name="PivotTable6"/>
    <pivotTable tabId="17" name="PivotTable7"/>
    <pivotTable tabId="17" name="PivotTable9"/>
  </pivotTables>
  <data>
    <tabular pivotCacheId="524013200">
      <items count="6">
        <i x="1" s="1"/>
        <i x="2" s="1"/>
        <i x="4" s="1"/>
        <i x="5" s="1"/>
        <i x="0"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s (Data)" xr10:uid="{79B339F2-9DED-46F2-A5C5-A0884CCDFCC5}" cache="Slicer_Years__Data" caption="Years (Data)" columnCount="4" showCaption="0" style="filtro dash" rowHeight="234950"/>
  <slicer name="Articolo" xr10:uid="{A033365E-7F3D-4AA7-9EE8-3981D46DF943}" cache="Slicer_Articolo" caption="Articolo" columnCount="6" showCaption="0" style="filtro das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62743-0B85-4F28-89A3-C3B71A8D99E4}" name="Table1" displayName="Table1" ref="A3:D200" totalsRowShown="0" headerRowBorderDxfId="7" tableBorderDxfId="8" totalsRowBorderDxfId="6">
  <autoFilter ref="A3:D200" xr:uid="{DC662743-0B85-4F28-89A3-C3B71A8D99E4}"/>
  <tableColumns count="4">
    <tableColumn id="1" xr3:uid="{96BC1CCD-06BC-40AE-B9D8-02F43DEBF4D7}" name="Articolo" dataDxfId="5"/>
    <tableColumn id="2" xr3:uid="{88E52B0C-74BF-4D0A-81B9-286B9693E5DA}" name="Venditore" dataDxfId="4"/>
    <tableColumn id="3" xr3:uid="{B468A695-CCA3-4AB8-ADE3-3C212B4341C1}" name="Data" dataDxfId="3"/>
    <tableColumn id="4" xr3:uid="{17D3D82D-6CC9-4D51-9552-27682439F731}" name="Importo" dataDxfId="2" dataCellStyle="Currency"/>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2C63-3F68-4AC4-8F62-EDBF9BFDEFCC}">
  <dimension ref="A1:Q44"/>
  <sheetViews>
    <sheetView zoomScale="76" workbookViewId="0">
      <selection activeCell="K3" sqref="K3"/>
    </sheetView>
  </sheetViews>
  <sheetFormatPr defaultRowHeight="14.4" x14ac:dyDescent="0.3"/>
  <cols>
    <col min="1" max="2" width="14.77734375" bestFit="1" customWidth="1"/>
    <col min="6" max="6" width="13.5546875" bestFit="1" customWidth="1"/>
    <col min="7" max="7" width="14.77734375" bestFit="1" customWidth="1"/>
    <col min="10" max="10" width="14.77734375" bestFit="1" customWidth="1"/>
    <col min="11" max="11" width="16.44140625" bestFit="1" customWidth="1"/>
    <col min="12" max="17" width="12" bestFit="1" customWidth="1"/>
    <col min="18" max="18" width="14.77734375" bestFit="1" customWidth="1"/>
    <col min="19" max="23" width="10.88671875" bestFit="1" customWidth="1"/>
    <col min="24" max="24" width="18.21875" bestFit="1" customWidth="1"/>
    <col min="25" max="25" width="13.77734375" bestFit="1" customWidth="1"/>
    <col min="26" max="30" width="10.88671875" bestFit="1" customWidth="1"/>
    <col min="31" max="31" width="17.21875" bestFit="1" customWidth="1"/>
    <col min="32" max="37" width="10.88671875" bestFit="1" customWidth="1"/>
    <col min="38" max="38" width="12.5546875" bestFit="1" customWidth="1"/>
    <col min="39" max="44" width="10.88671875" bestFit="1" customWidth="1"/>
    <col min="45" max="45" width="12" bestFit="1" customWidth="1"/>
    <col min="46" max="46" width="14.33203125" bestFit="1" customWidth="1"/>
    <col min="47" max="51" width="10.88671875" bestFit="1" customWidth="1"/>
    <col min="52" max="52" width="17.6640625" bestFit="1" customWidth="1"/>
    <col min="53" max="53" width="12" bestFit="1" customWidth="1"/>
  </cols>
  <sheetData>
    <row r="1" spans="1:17" x14ac:dyDescent="0.3">
      <c r="A1" s="17" t="s">
        <v>17</v>
      </c>
      <c r="B1" t="s">
        <v>19</v>
      </c>
      <c r="F1" s="17" t="s">
        <v>17</v>
      </c>
      <c r="G1" t="s">
        <v>19</v>
      </c>
      <c r="J1" s="17" t="s">
        <v>19</v>
      </c>
      <c r="K1" s="17" t="s">
        <v>23</v>
      </c>
    </row>
    <row r="2" spans="1:17" x14ac:dyDescent="0.3">
      <c r="A2" s="18" t="s">
        <v>7</v>
      </c>
      <c r="B2" s="20">
        <v>17620.080000000002</v>
      </c>
      <c r="F2" s="18" t="s">
        <v>7</v>
      </c>
      <c r="G2" s="22">
        <v>0.17744079174084335</v>
      </c>
      <c r="J2" s="17" t="s">
        <v>17</v>
      </c>
      <c r="K2" t="s">
        <v>7</v>
      </c>
      <c r="L2" t="s">
        <v>8</v>
      </c>
      <c r="M2" t="s">
        <v>6</v>
      </c>
      <c r="N2" t="s">
        <v>5</v>
      </c>
      <c r="O2" t="s">
        <v>4</v>
      </c>
      <c r="P2" t="s">
        <v>3</v>
      </c>
      <c r="Q2" t="s">
        <v>18</v>
      </c>
    </row>
    <row r="3" spans="1:17" x14ac:dyDescent="0.3">
      <c r="A3" s="19" t="s">
        <v>15</v>
      </c>
      <c r="B3" s="20">
        <v>5703.92</v>
      </c>
      <c r="F3" s="18" t="s">
        <v>8</v>
      </c>
      <c r="G3" s="22">
        <v>0.11614373565349374</v>
      </c>
      <c r="J3" s="18" t="s">
        <v>20</v>
      </c>
      <c r="K3" s="20">
        <v>7823.6200000000008</v>
      </c>
      <c r="L3" s="20">
        <v>6069.17</v>
      </c>
      <c r="M3" s="20">
        <v>1963.7</v>
      </c>
      <c r="N3" s="20">
        <v>7185.7099999999982</v>
      </c>
      <c r="O3" s="20">
        <v>8012.2600000000011</v>
      </c>
      <c r="P3" s="20">
        <v>4858.7499999999991</v>
      </c>
      <c r="Q3" s="20">
        <v>35913.21</v>
      </c>
    </row>
    <row r="4" spans="1:17" x14ac:dyDescent="0.3">
      <c r="A4" s="19" t="s">
        <v>13</v>
      </c>
      <c r="B4" s="20">
        <v>2225.7800000000002</v>
      </c>
      <c r="F4" s="18" t="s">
        <v>6</v>
      </c>
      <c r="G4" s="22">
        <v>0.1436080618578752</v>
      </c>
      <c r="J4" s="18" t="s">
        <v>21</v>
      </c>
      <c r="K4" s="20">
        <v>5074.4900000000007</v>
      </c>
      <c r="L4" s="20">
        <v>2311.64</v>
      </c>
      <c r="M4" s="20">
        <v>6833.97</v>
      </c>
      <c r="N4" s="20">
        <v>5432.1399999999994</v>
      </c>
      <c r="O4" s="20">
        <v>4239.8300000000008</v>
      </c>
      <c r="P4" s="20">
        <v>6567.84</v>
      </c>
      <c r="Q4" s="20">
        <v>30459.910000000003</v>
      </c>
    </row>
    <row r="5" spans="1:17" x14ac:dyDescent="0.3">
      <c r="A5" s="19" t="s">
        <v>16</v>
      </c>
      <c r="B5" s="20">
        <v>3706.81</v>
      </c>
      <c r="F5" s="18" t="s">
        <v>5</v>
      </c>
      <c r="G5" s="22">
        <v>0.17013030459456777</v>
      </c>
      <c r="J5" s="18" t="s">
        <v>22</v>
      </c>
      <c r="K5" s="20">
        <v>4721.9700000000012</v>
      </c>
      <c r="L5" s="20">
        <v>3152.3999999999996</v>
      </c>
      <c r="M5" s="20">
        <v>5462.7800000000007</v>
      </c>
      <c r="N5" s="20">
        <v>4276.29</v>
      </c>
      <c r="O5" s="20">
        <v>6533.4000000000005</v>
      </c>
      <c r="P5" s="20">
        <v>8781.2200000000012</v>
      </c>
      <c r="Q5" s="20">
        <v>32928.060000000005</v>
      </c>
    </row>
    <row r="6" spans="1:17" x14ac:dyDescent="0.3">
      <c r="A6" s="19" t="s">
        <v>14</v>
      </c>
      <c r="B6" s="20">
        <v>1731.82</v>
      </c>
      <c r="F6" s="18" t="s">
        <v>4</v>
      </c>
      <c r="G6" s="22">
        <v>0.18917690605489279</v>
      </c>
      <c r="J6" s="18" t="s">
        <v>18</v>
      </c>
      <c r="K6" s="20">
        <v>17620.080000000002</v>
      </c>
      <c r="L6" s="20">
        <v>11533.21</v>
      </c>
      <c r="M6" s="20">
        <v>14260.45</v>
      </c>
      <c r="N6" s="20">
        <v>16894.14</v>
      </c>
      <c r="O6" s="20">
        <v>18785.490000000002</v>
      </c>
      <c r="P6" s="20">
        <v>20207.810000000001</v>
      </c>
      <c r="Q6" s="20">
        <v>99301.18</v>
      </c>
    </row>
    <row r="7" spans="1:17" x14ac:dyDescent="0.3">
      <c r="A7" s="19" t="s">
        <v>9</v>
      </c>
      <c r="B7" s="20">
        <v>3945.19</v>
      </c>
      <c r="F7" s="18" t="s">
        <v>3</v>
      </c>
      <c r="G7" s="22">
        <v>0.20350020009832714</v>
      </c>
    </row>
    <row r="8" spans="1:17" x14ac:dyDescent="0.3">
      <c r="A8" s="19" t="s">
        <v>10</v>
      </c>
      <c r="B8" s="20">
        <v>306.56</v>
      </c>
      <c r="F8" s="18" t="s">
        <v>18</v>
      </c>
      <c r="G8" s="22">
        <v>1</v>
      </c>
    </row>
    <row r="9" spans="1:17" x14ac:dyDescent="0.3">
      <c r="A9" s="18" t="s">
        <v>8</v>
      </c>
      <c r="B9" s="20">
        <v>11533.21</v>
      </c>
      <c r="J9" s="17" t="s">
        <v>19</v>
      </c>
      <c r="K9" s="17" t="s">
        <v>23</v>
      </c>
    </row>
    <row r="10" spans="1:17" x14ac:dyDescent="0.3">
      <c r="A10" s="19" t="s">
        <v>15</v>
      </c>
      <c r="B10" s="20">
        <v>1205.5500000000002</v>
      </c>
      <c r="J10" s="17" t="s">
        <v>17</v>
      </c>
      <c r="K10" t="s">
        <v>15</v>
      </c>
      <c r="L10" t="s">
        <v>13</v>
      </c>
      <c r="M10" t="s">
        <v>16</v>
      </c>
      <c r="N10" t="s">
        <v>14</v>
      </c>
      <c r="O10" t="s">
        <v>9</v>
      </c>
      <c r="P10" t="s">
        <v>10</v>
      </c>
      <c r="Q10" t="s">
        <v>18</v>
      </c>
    </row>
    <row r="11" spans="1:17" x14ac:dyDescent="0.3">
      <c r="A11" s="19" t="s">
        <v>13</v>
      </c>
      <c r="B11" s="20">
        <v>1236.46</v>
      </c>
      <c r="J11" s="18" t="s">
        <v>20</v>
      </c>
      <c r="K11" s="20">
        <v>8726.15</v>
      </c>
      <c r="L11" s="20">
        <v>3225.6800000000003</v>
      </c>
      <c r="M11" s="20">
        <v>9214.6200000000008</v>
      </c>
      <c r="N11" s="20">
        <v>4745.71</v>
      </c>
      <c r="O11" s="20">
        <v>5387.2199999999993</v>
      </c>
      <c r="P11" s="20">
        <v>4613.83</v>
      </c>
      <c r="Q11" s="20">
        <v>35913.21</v>
      </c>
    </row>
    <row r="12" spans="1:17" x14ac:dyDescent="0.3">
      <c r="A12" s="19" t="s">
        <v>16</v>
      </c>
      <c r="B12" s="20">
        <v>3275.1000000000004</v>
      </c>
      <c r="F12" s="17" t="s">
        <v>17</v>
      </c>
      <c r="G12" t="s">
        <v>19</v>
      </c>
      <c r="J12" s="18" t="s">
        <v>21</v>
      </c>
      <c r="K12" s="20">
        <v>4716.09</v>
      </c>
      <c r="L12" s="20">
        <v>7074.2599999999993</v>
      </c>
      <c r="M12" s="20">
        <v>5439.5700000000006</v>
      </c>
      <c r="N12" s="20">
        <v>5426.35</v>
      </c>
      <c r="O12" s="20">
        <v>3612.5600000000004</v>
      </c>
      <c r="P12" s="20">
        <v>4191.08</v>
      </c>
      <c r="Q12" s="20">
        <v>30459.909999999996</v>
      </c>
    </row>
    <row r="13" spans="1:17" x14ac:dyDescent="0.3">
      <c r="A13" s="19" t="s">
        <v>14</v>
      </c>
      <c r="B13" s="20">
        <v>2264.6</v>
      </c>
      <c r="F13" s="18" t="s">
        <v>15</v>
      </c>
      <c r="G13" s="22">
        <v>0.24858073187045712</v>
      </c>
      <c r="J13" s="18" t="s">
        <v>22</v>
      </c>
      <c r="K13" s="20">
        <v>11242.119999999999</v>
      </c>
      <c r="L13" s="20">
        <v>5297.28</v>
      </c>
      <c r="M13" s="20">
        <v>2991.2300000000005</v>
      </c>
      <c r="N13" s="20">
        <v>5448.6399999999994</v>
      </c>
      <c r="O13" s="20">
        <v>5013.6000000000004</v>
      </c>
      <c r="P13" s="20">
        <v>2935.19</v>
      </c>
      <c r="Q13" s="20">
        <v>32928.06</v>
      </c>
    </row>
    <row r="14" spans="1:17" x14ac:dyDescent="0.3">
      <c r="A14" s="19" t="s">
        <v>9</v>
      </c>
      <c r="B14" s="20">
        <v>1680.79</v>
      </c>
      <c r="F14" s="18" t="s">
        <v>13</v>
      </c>
      <c r="G14" s="22">
        <v>0.15706983542390934</v>
      </c>
      <c r="J14" s="18" t="s">
        <v>18</v>
      </c>
      <c r="K14" s="20">
        <v>24684.36</v>
      </c>
      <c r="L14" s="20">
        <v>15597.219999999998</v>
      </c>
      <c r="M14" s="20">
        <v>17645.420000000002</v>
      </c>
      <c r="N14" s="20">
        <v>15620.7</v>
      </c>
      <c r="O14" s="20">
        <v>14013.38</v>
      </c>
      <c r="P14" s="20">
        <v>11740.1</v>
      </c>
      <c r="Q14" s="20">
        <v>99301.18</v>
      </c>
    </row>
    <row r="15" spans="1:17" x14ac:dyDescent="0.3">
      <c r="A15" s="19" t="s">
        <v>10</v>
      </c>
      <c r="B15" s="20">
        <v>1870.71</v>
      </c>
      <c r="F15" s="18" t="s">
        <v>16</v>
      </c>
      <c r="G15" s="22">
        <v>0.17769597501258289</v>
      </c>
    </row>
    <row r="16" spans="1:17" x14ac:dyDescent="0.3">
      <c r="A16" s="18" t="s">
        <v>6</v>
      </c>
      <c r="B16" s="20">
        <v>14260.45</v>
      </c>
      <c r="F16" s="18" t="s">
        <v>14</v>
      </c>
      <c r="G16" s="22">
        <v>0.15730628780040676</v>
      </c>
    </row>
    <row r="17" spans="1:7" x14ac:dyDescent="0.3">
      <c r="A17" s="19" t="s">
        <v>15</v>
      </c>
      <c r="B17" s="20">
        <v>1636.3100000000002</v>
      </c>
      <c r="F17" s="18" t="s">
        <v>9</v>
      </c>
      <c r="G17" s="22">
        <v>0.14111997460654552</v>
      </c>
    </row>
    <row r="18" spans="1:7" x14ac:dyDescent="0.3">
      <c r="A18" s="19" t="s">
        <v>13</v>
      </c>
      <c r="B18" s="20">
        <v>3498.46</v>
      </c>
      <c r="F18" s="18" t="s">
        <v>10</v>
      </c>
      <c r="G18" s="22">
        <v>0.1182271952860983</v>
      </c>
    </row>
    <row r="19" spans="1:7" x14ac:dyDescent="0.3">
      <c r="A19" s="19" t="s">
        <v>16</v>
      </c>
      <c r="B19" s="20">
        <v>1542.46</v>
      </c>
      <c r="F19" s="18" t="s">
        <v>18</v>
      </c>
      <c r="G19" s="22">
        <v>1</v>
      </c>
    </row>
    <row r="20" spans="1:7" x14ac:dyDescent="0.3">
      <c r="A20" s="19" t="s">
        <v>14</v>
      </c>
      <c r="B20" s="20">
        <v>3180.4199999999996</v>
      </c>
    </row>
    <row r="21" spans="1:7" x14ac:dyDescent="0.3">
      <c r="A21" s="19" t="s">
        <v>9</v>
      </c>
      <c r="B21" s="20">
        <v>1640.19</v>
      </c>
    </row>
    <row r="22" spans="1:7" x14ac:dyDescent="0.3">
      <c r="A22" s="19" t="s">
        <v>10</v>
      </c>
      <c r="B22" s="20">
        <v>2762.6100000000006</v>
      </c>
    </row>
    <row r="23" spans="1:7" x14ac:dyDescent="0.3">
      <c r="A23" s="18" t="s">
        <v>5</v>
      </c>
      <c r="B23" s="20">
        <v>16894.140000000003</v>
      </c>
    </row>
    <row r="24" spans="1:7" x14ac:dyDescent="0.3">
      <c r="A24" s="19" t="s">
        <v>15</v>
      </c>
      <c r="B24" s="20">
        <v>5657.4800000000005</v>
      </c>
    </row>
    <row r="25" spans="1:7" x14ac:dyDescent="0.3">
      <c r="A25" s="19" t="s">
        <v>13</v>
      </c>
      <c r="B25" s="20">
        <v>1386.3500000000001</v>
      </c>
    </row>
    <row r="26" spans="1:7" x14ac:dyDescent="0.3">
      <c r="A26" s="19" t="s">
        <v>16</v>
      </c>
      <c r="B26" s="20">
        <v>3870.0499999999993</v>
      </c>
    </row>
    <row r="27" spans="1:7" x14ac:dyDescent="0.3">
      <c r="A27" s="19" t="s">
        <v>14</v>
      </c>
      <c r="B27" s="20">
        <v>3198.02</v>
      </c>
    </row>
    <row r="28" spans="1:7" x14ac:dyDescent="0.3">
      <c r="A28" s="19" t="s">
        <v>9</v>
      </c>
      <c r="B28" s="20">
        <v>1030.78</v>
      </c>
    </row>
    <row r="29" spans="1:7" x14ac:dyDescent="0.3">
      <c r="A29" s="19" t="s">
        <v>10</v>
      </c>
      <c r="B29" s="20">
        <v>1751.46</v>
      </c>
    </row>
    <row r="30" spans="1:7" x14ac:dyDescent="0.3">
      <c r="A30" s="18" t="s">
        <v>4</v>
      </c>
      <c r="B30" s="20">
        <v>18785.489999999998</v>
      </c>
    </row>
    <row r="31" spans="1:7" x14ac:dyDescent="0.3">
      <c r="A31" s="19" t="s">
        <v>15</v>
      </c>
      <c r="B31" s="20">
        <v>3844.1100000000006</v>
      </c>
    </row>
    <row r="32" spans="1:7" x14ac:dyDescent="0.3">
      <c r="A32" s="19" t="s">
        <v>13</v>
      </c>
      <c r="B32" s="20">
        <v>2394.48</v>
      </c>
    </row>
    <row r="33" spans="1:2" x14ac:dyDescent="0.3">
      <c r="A33" s="19" t="s">
        <v>16</v>
      </c>
      <c r="B33" s="20">
        <v>3928.3199999999997</v>
      </c>
    </row>
    <row r="34" spans="1:2" x14ac:dyDescent="0.3">
      <c r="A34" s="19" t="s">
        <v>14</v>
      </c>
      <c r="B34" s="20">
        <v>3844.97</v>
      </c>
    </row>
    <row r="35" spans="1:2" x14ac:dyDescent="0.3">
      <c r="A35" s="19" t="s">
        <v>9</v>
      </c>
      <c r="B35" s="20">
        <v>2000.27</v>
      </c>
    </row>
    <row r="36" spans="1:2" x14ac:dyDescent="0.3">
      <c r="A36" s="19" t="s">
        <v>10</v>
      </c>
      <c r="B36" s="20">
        <v>2773.3399999999997</v>
      </c>
    </row>
    <row r="37" spans="1:2" x14ac:dyDescent="0.3">
      <c r="A37" s="18" t="s">
        <v>3</v>
      </c>
      <c r="B37" s="20">
        <v>20207.809999999998</v>
      </c>
    </row>
    <row r="38" spans="1:2" x14ac:dyDescent="0.3">
      <c r="A38" s="19" t="s">
        <v>15</v>
      </c>
      <c r="B38" s="20">
        <v>6636.9900000000007</v>
      </c>
    </row>
    <row r="39" spans="1:2" x14ac:dyDescent="0.3">
      <c r="A39" s="19" t="s">
        <v>13</v>
      </c>
      <c r="B39" s="20">
        <v>4855.6899999999996</v>
      </c>
    </row>
    <row r="40" spans="1:2" x14ac:dyDescent="0.3">
      <c r="A40" s="19" t="s">
        <v>16</v>
      </c>
      <c r="B40" s="20">
        <v>1322.6799999999998</v>
      </c>
    </row>
    <row r="41" spans="1:2" x14ac:dyDescent="0.3">
      <c r="A41" s="19" t="s">
        <v>14</v>
      </c>
      <c r="B41" s="20">
        <v>1400.87</v>
      </c>
    </row>
    <row r="42" spans="1:2" x14ac:dyDescent="0.3">
      <c r="A42" s="19" t="s">
        <v>9</v>
      </c>
      <c r="B42" s="20">
        <v>3716.1600000000003</v>
      </c>
    </row>
    <row r="43" spans="1:2" x14ac:dyDescent="0.3">
      <c r="A43" s="19" t="s">
        <v>10</v>
      </c>
      <c r="B43" s="20">
        <v>2275.42</v>
      </c>
    </row>
    <row r="44" spans="1:2" x14ac:dyDescent="0.3">
      <c r="A44" s="18" t="s">
        <v>18</v>
      </c>
      <c r="B44" s="20">
        <v>99301.180000000008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8AFF-8048-4574-AEA1-EEBE00C9C662}">
  <dimension ref="A1:AE2"/>
  <sheetViews>
    <sheetView tabSelected="1" zoomScale="66" zoomScaleNormal="100" workbookViewId="0">
      <selection activeCell="Q32" sqref="Q32"/>
    </sheetView>
  </sheetViews>
  <sheetFormatPr defaultRowHeight="14.4" x14ac:dyDescent="0.3"/>
  <sheetData>
    <row r="1" spans="1:31" ht="102.6" customHeight="1" x14ac:dyDescent="0.3">
      <c r="A1" s="21"/>
      <c r="B1" s="21"/>
      <c r="C1" s="21"/>
      <c r="D1" s="21"/>
      <c r="E1" s="21"/>
      <c r="F1" s="21"/>
      <c r="G1" s="21"/>
      <c r="H1" s="21"/>
      <c r="I1" s="21"/>
      <c r="J1" s="21"/>
      <c r="K1" s="21"/>
      <c r="L1" s="21"/>
      <c r="M1" s="21"/>
      <c r="N1" s="21"/>
      <c r="O1" s="21"/>
      <c r="P1" s="21"/>
      <c r="Q1" s="21"/>
      <c r="R1" s="21"/>
      <c r="S1" s="21"/>
      <c r="T1" s="21"/>
      <c r="U1" s="21"/>
      <c r="V1" s="21"/>
      <c r="W1" s="23"/>
      <c r="X1" s="21"/>
      <c r="Y1" s="21"/>
      <c r="Z1" s="21"/>
      <c r="AA1" s="21"/>
      <c r="AB1" s="21"/>
      <c r="AC1" s="21"/>
      <c r="AD1" s="21"/>
      <c r="AE1" s="21"/>
    </row>
    <row r="2" spans="1:31" ht="25.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
  <sheetViews>
    <sheetView topLeftCell="A2" zoomScale="97" zoomScaleNormal="180" workbookViewId="0">
      <selection activeCell="B208" sqref="B208"/>
    </sheetView>
  </sheetViews>
  <sheetFormatPr defaultRowHeight="14.4" x14ac:dyDescent="0.3"/>
  <cols>
    <col min="1" max="1" width="17.5546875" bestFit="1" customWidth="1"/>
    <col min="2" max="2" width="12" bestFit="1" customWidth="1"/>
    <col min="3" max="4" width="13.33203125" bestFit="1" customWidth="1"/>
    <col min="5" max="5" width="12" bestFit="1" customWidth="1"/>
    <col min="6" max="7" width="13.109375" bestFit="1" customWidth="1"/>
    <col min="8" max="8" width="11" bestFit="1" customWidth="1"/>
  </cols>
  <sheetData>
    <row r="1" spans="1:5" ht="15" thickBot="1" x14ac:dyDescent="0.35">
      <c r="A1" s="4" t="s">
        <v>0</v>
      </c>
      <c r="B1" s="5"/>
      <c r="C1" s="5"/>
      <c r="D1" s="6"/>
      <c r="E1" s="1"/>
    </row>
    <row r="3" spans="1:5" x14ac:dyDescent="0.3">
      <c r="A3" s="9" t="s">
        <v>1</v>
      </c>
      <c r="B3" s="10" t="s">
        <v>11</v>
      </c>
      <c r="C3" s="11" t="s">
        <v>12</v>
      </c>
      <c r="D3" s="12" t="s">
        <v>2</v>
      </c>
    </row>
    <row r="4" spans="1:5" ht="15" customHeight="1" x14ac:dyDescent="0.3">
      <c r="A4" s="7" t="s">
        <v>4</v>
      </c>
      <c r="B4" s="2" t="s">
        <v>16</v>
      </c>
      <c r="C4" s="3">
        <v>44982</v>
      </c>
      <c r="D4" s="8">
        <v>755.01</v>
      </c>
    </row>
    <row r="5" spans="1:5" ht="15" customHeight="1" x14ac:dyDescent="0.3">
      <c r="A5" s="7" t="s">
        <v>7</v>
      </c>
      <c r="B5" s="2" t="s">
        <v>15</v>
      </c>
      <c r="C5" s="3">
        <v>44887</v>
      </c>
      <c r="D5" s="8">
        <v>745.97</v>
      </c>
    </row>
    <row r="6" spans="1:5" ht="15" customHeight="1" x14ac:dyDescent="0.3">
      <c r="A6" s="7" t="s">
        <v>8</v>
      </c>
      <c r="B6" s="2" t="s">
        <v>13</v>
      </c>
      <c r="C6" s="3">
        <v>44722</v>
      </c>
      <c r="D6" s="8">
        <v>74.17</v>
      </c>
    </row>
    <row r="7" spans="1:5" ht="15" customHeight="1" x14ac:dyDescent="0.3">
      <c r="A7" s="7" t="s">
        <v>3</v>
      </c>
      <c r="B7" s="2" t="s">
        <v>15</v>
      </c>
      <c r="C7" s="3">
        <v>45608</v>
      </c>
      <c r="D7" s="8">
        <v>928.69</v>
      </c>
    </row>
    <row r="8" spans="1:5" ht="15" customHeight="1" x14ac:dyDescent="0.3">
      <c r="A8" s="7" t="s">
        <v>6</v>
      </c>
      <c r="B8" s="2" t="s">
        <v>13</v>
      </c>
      <c r="C8" s="3">
        <v>45367</v>
      </c>
      <c r="D8" s="8">
        <v>941.95</v>
      </c>
    </row>
    <row r="9" spans="1:5" ht="15" customHeight="1" x14ac:dyDescent="0.3">
      <c r="A9" s="7" t="s">
        <v>4</v>
      </c>
      <c r="B9" s="2" t="s">
        <v>16</v>
      </c>
      <c r="C9" s="3">
        <v>44752</v>
      </c>
      <c r="D9" s="8">
        <v>428.18</v>
      </c>
    </row>
    <row r="10" spans="1:5" ht="15" customHeight="1" x14ac:dyDescent="0.3">
      <c r="A10" s="7" t="s">
        <v>5</v>
      </c>
      <c r="B10" s="2" t="s">
        <v>15</v>
      </c>
      <c r="C10" s="3">
        <v>44780</v>
      </c>
      <c r="D10" s="8">
        <v>733.99</v>
      </c>
    </row>
    <row r="11" spans="1:5" ht="15" customHeight="1" x14ac:dyDescent="0.3">
      <c r="A11" s="7" t="s">
        <v>7</v>
      </c>
      <c r="B11" s="2" t="s">
        <v>15</v>
      </c>
      <c r="C11" s="3">
        <v>44772</v>
      </c>
      <c r="D11" s="8">
        <v>990.93</v>
      </c>
    </row>
    <row r="12" spans="1:5" ht="15" customHeight="1" x14ac:dyDescent="0.3">
      <c r="A12" s="7" t="s">
        <v>5</v>
      </c>
      <c r="B12" s="2" t="s">
        <v>16</v>
      </c>
      <c r="C12" s="3">
        <v>44851</v>
      </c>
      <c r="D12" s="8">
        <v>65.959999999999994</v>
      </c>
    </row>
    <row r="13" spans="1:5" ht="15" customHeight="1" x14ac:dyDescent="0.3">
      <c r="A13" s="7" t="s">
        <v>6</v>
      </c>
      <c r="B13" s="2" t="s">
        <v>14</v>
      </c>
      <c r="C13" s="3">
        <v>45424</v>
      </c>
      <c r="D13" s="8">
        <v>720.68</v>
      </c>
    </row>
    <row r="14" spans="1:5" ht="15" customHeight="1" x14ac:dyDescent="0.3">
      <c r="A14" s="7" t="s">
        <v>4</v>
      </c>
      <c r="B14" s="2" t="s">
        <v>15</v>
      </c>
      <c r="C14" s="3">
        <v>45458</v>
      </c>
      <c r="D14" s="8">
        <v>180.52</v>
      </c>
    </row>
    <row r="15" spans="1:5" ht="15" customHeight="1" x14ac:dyDescent="0.3">
      <c r="A15" s="7" t="s">
        <v>7</v>
      </c>
      <c r="B15" s="2" t="s">
        <v>9</v>
      </c>
      <c r="C15" s="3">
        <v>45364</v>
      </c>
      <c r="D15" s="8">
        <v>737.42</v>
      </c>
    </row>
    <row r="16" spans="1:5" ht="15" customHeight="1" x14ac:dyDescent="0.3">
      <c r="A16" s="7" t="s">
        <v>7</v>
      </c>
      <c r="B16" s="2" t="s">
        <v>13</v>
      </c>
      <c r="C16" s="3">
        <v>44892</v>
      </c>
      <c r="D16" s="8">
        <v>589.1</v>
      </c>
    </row>
    <row r="17" spans="1:4" ht="15" customHeight="1" x14ac:dyDescent="0.3">
      <c r="A17" s="7" t="s">
        <v>7</v>
      </c>
      <c r="B17" s="2" t="s">
        <v>9</v>
      </c>
      <c r="C17" s="3">
        <v>45052</v>
      </c>
      <c r="D17" s="8">
        <v>984.27</v>
      </c>
    </row>
    <row r="18" spans="1:4" ht="15" customHeight="1" x14ac:dyDescent="0.3">
      <c r="A18" s="7" t="s">
        <v>3</v>
      </c>
      <c r="B18" s="2" t="s">
        <v>10</v>
      </c>
      <c r="C18" s="3">
        <v>45166</v>
      </c>
      <c r="D18" s="8">
        <v>420.7</v>
      </c>
    </row>
    <row r="19" spans="1:4" ht="15" customHeight="1" x14ac:dyDescent="0.3">
      <c r="A19" s="7" t="s">
        <v>7</v>
      </c>
      <c r="B19" s="2" t="s">
        <v>13</v>
      </c>
      <c r="C19" s="3">
        <v>44774</v>
      </c>
      <c r="D19" s="8">
        <v>657.8</v>
      </c>
    </row>
    <row r="20" spans="1:4" ht="15" customHeight="1" x14ac:dyDescent="0.3">
      <c r="A20" s="7" t="s">
        <v>6</v>
      </c>
      <c r="B20" s="2" t="s">
        <v>13</v>
      </c>
      <c r="C20" s="3">
        <v>45480</v>
      </c>
      <c r="D20" s="8">
        <v>711.52</v>
      </c>
    </row>
    <row r="21" spans="1:4" ht="15" customHeight="1" x14ac:dyDescent="0.3">
      <c r="A21" s="7" t="s">
        <v>7</v>
      </c>
      <c r="B21" s="2" t="s">
        <v>9</v>
      </c>
      <c r="C21" s="3">
        <v>44658</v>
      </c>
      <c r="D21" s="8">
        <v>830.31</v>
      </c>
    </row>
    <row r="22" spans="1:4" ht="15" customHeight="1" x14ac:dyDescent="0.3">
      <c r="A22" s="7" t="s">
        <v>8</v>
      </c>
      <c r="B22" s="2" t="s">
        <v>15</v>
      </c>
      <c r="C22" s="3">
        <v>45229</v>
      </c>
      <c r="D22" s="8">
        <v>222.35</v>
      </c>
    </row>
    <row r="23" spans="1:4" ht="15" customHeight="1" x14ac:dyDescent="0.3">
      <c r="A23" s="7" t="s">
        <v>5</v>
      </c>
      <c r="B23" s="2" t="s">
        <v>10</v>
      </c>
      <c r="C23" s="3">
        <v>44994</v>
      </c>
      <c r="D23" s="8">
        <v>346.79</v>
      </c>
    </row>
    <row r="24" spans="1:4" ht="15" customHeight="1" x14ac:dyDescent="0.3">
      <c r="A24" s="7" t="s">
        <v>8</v>
      </c>
      <c r="B24" s="2" t="s">
        <v>13</v>
      </c>
      <c r="C24" s="3">
        <v>45614</v>
      </c>
      <c r="D24" s="8">
        <v>317.10000000000002</v>
      </c>
    </row>
    <row r="25" spans="1:4" ht="15" customHeight="1" x14ac:dyDescent="0.3">
      <c r="A25" s="7" t="s">
        <v>3</v>
      </c>
      <c r="B25" s="2" t="s">
        <v>9</v>
      </c>
      <c r="C25" s="3">
        <v>44941</v>
      </c>
      <c r="D25" s="8">
        <v>253.41</v>
      </c>
    </row>
    <row r="26" spans="1:4" ht="15" customHeight="1" x14ac:dyDescent="0.3">
      <c r="A26" s="7" t="s">
        <v>5</v>
      </c>
      <c r="B26" s="2" t="s">
        <v>16</v>
      </c>
      <c r="C26" s="3">
        <v>44805</v>
      </c>
      <c r="D26" s="8">
        <v>751.13</v>
      </c>
    </row>
    <row r="27" spans="1:4" ht="15" customHeight="1" x14ac:dyDescent="0.3">
      <c r="A27" s="7" t="s">
        <v>5</v>
      </c>
      <c r="B27" s="2" t="s">
        <v>16</v>
      </c>
      <c r="C27" s="3">
        <v>45334</v>
      </c>
      <c r="D27" s="8">
        <v>439.77</v>
      </c>
    </row>
    <row r="28" spans="1:4" ht="15" customHeight="1" x14ac:dyDescent="0.3">
      <c r="A28" s="7" t="s">
        <v>3</v>
      </c>
      <c r="B28" s="2" t="s">
        <v>15</v>
      </c>
      <c r="C28" s="3">
        <v>44973</v>
      </c>
      <c r="D28" s="8">
        <v>450.93</v>
      </c>
    </row>
    <row r="29" spans="1:4" ht="15" customHeight="1" x14ac:dyDescent="0.3">
      <c r="A29" s="7" t="s">
        <v>7</v>
      </c>
      <c r="B29" s="2" t="s">
        <v>13</v>
      </c>
      <c r="C29" s="3">
        <v>45135</v>
      </c>
      <c r="D29" s="8">
        <v>347.69</v>
      </c>
    </row>
    <row r="30" spans="1:4" x14ac:dyDescent="0.3">
      <c r="A30" s="7" t="s">
        <v>5</v>
      </c>
      <c r="B30" s="2" t="s">
        <v>14</v>
      </c>
      <c r="C30" s="3">
        <v>45308</v>
      </c>
      <c r="D30" s="8">
        <v>95.93</v>
      </c>
    </row>
    <row r="31" spans="1:4" x14ac:dyDescent="0.3">
      <c r="A31" s="7" t="s">
        <v>4</v>
      </c>
      <c r="B31" s="2" t="s">
        <v>16</v>
      </c>
      <c r="C31" s="3">
        <v>45368</v>
      </c>
      <c r="D31" s="8">
        <v>534.48</v>
      </c>
    </row>
    <row r="32" spans="1:4" ht="15" customHeight="1" x14ac:dyDescent="0.3">
      <c r="A32" s="7" t="s">
        <v>5</v>
      </c>
      <c r="B32" s="2" t="s">
        <v>15</v>
      </c>
      <c r="C32" s="3">
        <v>45410</v>
      </c>
      <c r="D32" s="8">
        <v>327.73</v>
      </c>
    </row>
    <row r="33" spans="1:4" ht="15" customHeight="1" x14ac:dyDescent="0.3">
      <c r="A33" s="7" t="s">
        <v>7</v>
      </c>
      <c r="B33" s="2" t="s">
        <v>16</v>
      </c>
      <c r="C33" s="3">
        <v>44605</v>
      </c>
      <c r="D33" s="8">
        <v>217.52</v>
      </c>
    </row>
    <row r="34" spans="1:4" x14ac:dyDescent="0.3">
      <c r="A34" s="7" t="s">
        <v>7</v>
      </c>
      <c r="B34" s="2" t="s">
        <v>14</v>
      </c>
      <c r="C34" s="3">
        <v>45285</v>
      </c>
      <c r="D34" s="8">
        <v>858.01</v>
      </c>
    </row>
    <row r="35" spans="1:4" x14ac:dyDescent="0.3">
      <c r="A35" s="7" t="s">
        <v>4</v>
      </c>
      <c r="B35" s="2" t="s">
        <v>16</v>
      </c>
      <c r="C35" s="3">
        <v>44725</v>
      </c>
      <c r="D35" s="8">
        <v>620.24</v>
      </c>
    </row>
    <row r="36" spans="1:4" ht="15" customHeight="1" x14ac:dyDescent="0.3">
      <c r="A36" s="7" t="s">
        <v>3</v>
      </c>
      <c r="B36" s="2" t="s">
        <v>13</v>
      </c>
      <c r="C36" s="3">
        <v>45647</v>
      </c>
      <c r="D36" s="8">
        <v>954.01</v>
      </c>
    </row>
    <row r="37" spans="1:4" ht="15" customHeight="1" x14ac:dyDescent="0.3">
      <c r="A37" s="7" t="s">
        <v>8</v>
      </c>
      <c r="B37" s="2" t="s">
        <v>16</v>
      </c>
      <c r="C37" s="3">
        <v>44877</v>
      </c>
      <c r="D37" s="8">
        <v>966.9</v>
      </c>
    </row>
    <row r="38" spans="1:4" ht="15" customHeight="1" x14ac:dyDescent="0.3">
      <c r="A38" s="7" t="s">
        <v>7</v>
      </c>
      <c r="B38" s="2" t="s">
        <v>10</v>
      </c>
      <c r="C38" s="3">
        <v>45086</v>
      </c>
      <c r="D38" s="8">
        <v>188.13</v>
      </c>
    </row>
    <row r="39" spans="1:4" ht="15" customHeight="1" x14ac:dyDescent="0.3">
      <c r="A39" s="7" t="s">
        <v>4</v>
      </c>
      <c r="B39" s="2" t="s">
        <v>13</v>
      </c>
      <c r="C39" s="3">
        <v>45526</v>
      </c>
      <c r="D39" s="8">
        <v>535.87</v>
      </c>
    </row>
    <row r="40" spans="1:4" ht="15.9" customHeight="1" x14ac:dyDescent="0.3">
      <c r="A40" s="7" t="s">
        <v>5</v>
      </c>
      <c r="B40" s="2" t="s">
        <v>15</v>
      </c>
      <c r="C40" s="3">
        <v>45072</v>
      </c>
      <c r="D40" s="8">
        <v>56.91</v>
      </c>
    </row>
    <row r="41" spans="1:4" x14ac:dyDescent="0.3">
      <c r="A41" s="7" t="s">
        <v>7</v>
      </c>
      <c r="B41" s="2" t="s">
        <v>13</v>
      </c>
      <c r="C41" s="3">
        <v>45480</v>
      </c>
      <c r="D41" s="8">
        <v>631.19000000000005</v>
      </c>
    </row>
    <row r="42" spans="1:4" x14ac:dyDescent="0.3">
      <c r="A42" s="7" t="s">
        <v>3</v>
      </c>
      <c r="B42" s="2" t="s">
        <v>15</v>
      </c>
      <c r="C42" s="3">
        <v>45515</v>
      </c>
      <c r="D42" s="8">
        <v>274.8</v>
      </c>
    </row>
    <row r="43" spans="1:4" x14ac:dyDescent="0.3">
      <c r="A43" s="7" t="s">
        <v>8</v>
      </c>
      <c r="B43" s="2" t="s">
        <v>10</v>
      </c>
      <c r="C43" s="3">
        <v>44776</v>
      </c>
      <c r="D43" s="8">
        <v>815.41</v>
      </c>
    </row>
    <row r="44" spans="1:4" x14ac:dyDescent="0.3">
      <c r="A44" s="7" t="s">
        <v>7</v>
      </c>
      <c r="B44" s="2" t="s">
        <v>9</v>
      </c>
      <c r="C44" s="3">
        <v>45177</v>
      </c>
      <c r="D44" s="8">
        <v>493.34</v>
      </c>
    </row>
    <row r="45" spans="1:4" x14ac:dyDescent="0.3">
      <c r="A45" s="7" t="s">
        <v>7</v>
      </c>
      <c r="B45" s="2" t="s">
        <v>15</v>
      </c>
      <c r="C45" s="3">
        <v>45476</v>
      </c>
      <c r="D45" s="8">
        <v>406.59</v>
      </c>
    </row>
    <row r="46" spans="1:4" x14ac:dyDescent="0.3">
      <c r="A46" s="7" t="s">
        <v>7</v>
      </c>
      <c r="B46" s="2" t="s">
        <v>15</v>
      </c>
      <c r="C46" s="3">
        <v>45599</v>
      </c>
      <c r="D46" s="8">
        <v>111.94</v>
      </c>
    </row>
    <row r="47" spans="1:4" x14ac:dyDescent="0.3">
      <c r="A47" s="7" t="s">
        <v>8</v>
      </c>
      <c r="B47" s="2" t="s">
        <v>14</v>
      </c>
      <c r="C47" s="3">
        <v>44600</v>
      </c>
      <c r="D47" s="8">
        <v>616.82000000000005</v>
      </c>
    </row>
    <row r="48" spans="1:4" x14ac:dyDescent="0.3">
      <c r="A48" s="7" t="s">
        <v>6</v>
      </c>
      <c r="B48" s="2" t="s">
        <v>10</v>
      </c>
      <c r="C48" s="3">
        <v>45002</v>
      </c>
      <c r="D48" s="8">
        <v>794.84</v>
      </c>
    </row>
    <row r="49" spans="1:4" x14ac:dyDescent="0.3">
      <c r="A49" s="7" t="s">
        <v>4</v>
      </c>
      <c r="B49" s="2" t="s">
        <v>16</v>
      </c>
      <c r="C49" s="3">
        <v>44633</v>
      </c>
      <c r="D49" s="8">
        <v>199.88</v>
      </c>
    </row>
    <row r="50" spans="1:4" x14ac:dyDescent="0.3">
      <c r="A50" s="7" t="s">
        <v>6</v>
      </c>
      <c r="B50" s="2" t="s">
        <v>16</v>
      </c>
      <c r="C50" s="3">
        <v>45154</v>
      </c>
      <c r="D50" s="8">
        <v>988.1</v>
      </c>
    </row>
    <row r="51" spans="1:4" x14ac:dyDescent="0.3">
      <c r="A51" s="7" t="s">
        <v>8</v>
      </c>
      <c r="B51" s="2" t="s">
        <v>14</v>
      </c>
      <c r="C51" s="3">
        <v>45645</v>
      </c>
      <c r="D51" s="8">
        <v>547.29999999999995</v>
      </c>
    </row>
    <row r="52" spans="1:4" x14ac:dyDescent="0.3">
      <c r="A52" s="7" t="s">
        <v>7</v>
      </c>
      <c r="B52" s="2" t="s">
        <v>15</v>
      </c>
      <c r="C52" s="3">
        <v>45218</v>
      </c>
      <c r="D52" s="8">
        <v>169.22</v>
      </c>
    </row>
    <row r="53" spans="1:4" x14ac:dyDescent="0.3">
      <c r="A53" s="7" t="s">
        <v>3</v>
      </c>
      <c r="B53" s="2" t="s">
        <v>15</v>
      </c>
      <c r="C53" s="3">
        <v>45434</v>
      </c>
      <c r="D53" s="8">
        <v>613.96</v>
      </c>
    </row>
    <row r="54" spans="1:4" x14ac:dyDescent="0.3">
      <c r="A54" s="7" t="s">
        <v>8</v>
      </c>
      <c r="B54" s="2" t="s">
        <v>9</v>
      </c>
      <c r="C54" s="3">
        <v>45338</v>
      </c>
      <c r="D54" s="8">
        <v>443.05</v>
      </c>
    </row>
    <row r="55" spans="1:4" x14ac:dyDescent="0.3">
      <c r="A55" s="7" t="s">
        <v>4</v>
      </c>
      <c r="B55" s="2" t="s">
        <v>16</v>
      </c>
      <c r="C55" s="3">
        <v>45655</v>
      </c>
      <c r="D55" s="8">
        <v>64.64</v>
      </c>
    </row>
    <row r="56" spans="1:4" x14ac:dyDescent="0.3">
      <c r="A56" s="7" t="s">
        <v>8</v>
      </c>
      <c r="B56" s="2" t="s">
        <v>10</v>
      </c>
      <c r="C56" s="3">
        <v>44671</v>
      </c>
      <c r="D56" s="8">
        <v>173.1</v>
      </c>
    </row>
    <row r="57" spans="1:4" x14ac:dyDescent="0.3">
      <c r="A57" s="7" t="s">
        <v>5</v>
      </c>
      <c r="B57" s="2" t="s">
        <v>16</v>
      </c>
      <c r="C57" s="3">
        <v>44709</v>
      </c>
      <c r="D57" s="8">
        <v>763.41</v>
      </c>
    </row>
    <row r="58" spans="1:4" x14ac:dyDescent="0.3">
      <c r="A58" s="7" t="s">
        <v>5</v>
      </c>
      <c r="B58" s="2" t="s">
        <v>14</v>
      </c>
      <c r="C58" s="3">
        <v>45240</v>
      </c>
      <c r="D58" s="8">
        <v>718.49</v>
      </c>
    </row>
    <row r="59" spans="1:4" x14ac:dyDescent="0.3">
      <c r="A59" s="7" t="s">
        <v>5</v>
      </c>
      <c r="B59" s="2" t="s">
        <v>14</v>
      </c>
      <c r="C59" s="3">
        <v>44826</v>
      </c>
      <c r="D59" s="8">
        <v>430.12</v>
      </c>
    </row>
    <row r="60" spans="1:4" x14ac:dyDescent="0.3">
      <c r="A60" s="7" t="s">
        <v>5</v>
      </c>
      <c r="B60" s="2" t="s">
        <v>15</v>
      </c>
      <c r="C60" s="3">
        <v>45624</v>
      </c>
      <c r="D60" s="8">
        <v>724.24</v>
      </c>
    </row>
    <row r="61" spans="1:4" x14ac:dyDescent="0.3">
      <c r="A61" s="7" t="s">
        <v>7</v>
      </c>
      <c r="B61" s="2" t="s">
        <v>15</v>
      </c>
      <c r="C61" s="3">
        <v>45200</v>
      </c>
      <c r="D61" s="8">
        <v>303.54000000000002</v>
      </c>
    </row>
    <row r="62" spans="1:4" x14ac:dyDescent="0.3">
      <c r="A62" s="7" t="s">
        <v>7</v>
      </c>
      <c r="B62" s="2" t="s">
        <v>15</v>
      </c>
      <c r="C62" s="3">
        <v>45596</v>
      </c>
      <c r="D62" s="8">
        <v>873.91</v>
      </c>
    </row>
    <row r="63" spans="1:4" x14ac:dyDescent="0.3">
      <c r="A63" s="7" t="s">
        <v>3</v>
      </c>
      <c r="B63" s="2" t="s">
        <v>13</v>
      </c>
      <c r="C63" s="3">
        <v>45290</v>
      </c>
      <c r="D63" s="8">
        <v>363.49</v>
      </c>
    </row>
    <row r="64" spans="1:4" x14ac:dyDescent="0.3">
      <c r="A64" s="7" t="s">
        <v>8</v>
      </c>
      <c r="B64" s="2" t="s">
        <v>15</v>
      </c>
      <c r="C64" s="3">
        <v>45403</v>
      </c>
      <c r="D64" s="8">
        <v>288.12</v>
      </c>
    </row>
    <row r="65" spans="1:4" x14ac:dyDescent="0.3">
      <c r="A65" s="7" t="s">
        <v>3</v>
      </c>
      <c r="B65" s="2" t="s">
        <v>9</v>
      </c>
      <c r="C65" s="3">
        <v>45394</v>
      </c>
      <c r="D65" s="8">
        <v>484.1</v>
      </c>
    </row>
    <row r="66" spans="1:4" x14ac:dyDescent="0.3">
      <c r="A66" s="7" t="s">
        <v>5</v>
      </c>
      <c r="B66" s="2" t="s">
        <v>15</v>
      </c>
      <c r="C66" s="3">
        <v>44693</v>
      </c>
      <c r="D66" s="8">
        <v>753.62</v>
      </c>
    </row>
    <row r="67" spans="1:4" x14ac:dyDescent="0.3">
      <c r="A67" s="7" t="s">
        <v>8</v>
      </c>
      <c r="B67" s="2" t="s">
        <v>13</v>
      </c>
      <c r="C67" s="3">
        <v>44763</v>
      </c>
      <c r="D67" s="8">
        <v>143.47999999999999</v>
      </c>
    </row>
    <row r="68" spans="1:4" x14ac:dyDescent="0.3">
      <c r="A68" s="7" t="s">
        <v>3</v>
      </c>
      <c r="B68" s="2" t="s">
        <v>9</v>
      </c>
      <c r="C68" s="3">
        <v>45353</v>
      </c>
      <c r="D68" s="8">
        <v>752.33</v>
      </c>
    </row>
    <row r="69" spans="1:4" x14ac:dyDescent="0.3">
      <c r="A69" s="7" t="s">
        <v>4</v>
      </c>
      <c r="B69" s="2" t="s">
        <v>10</v>
      </c>
      <c r="C69" s="3">
        <v>44596</v>
      </c>
      <c r="D69" s="8">
        <v>789.76</v>
      </c>
    </row>
    <row r="70" spans="1:4" x14ac:dyDescent="0.3">
      <c r="A70" s="7" t="s">
        <v>6</v>
      </c>
      <c r="B70" s="2" t="s">
        <v>9</v>
      </c>
      <c r="C70" s="3">
        <v>45290</v>
      </c>
      <c r="D70" s="8">
        <v>250.57</v>
      </c>
    </row>
    <row r="71" spans="1:4" x14ac:dyDescent="0.3">
      <c r="A71" s="7" t="s">
        <v>5</v>
      </c>
      <c r="B71" s="2" t="s">
        <v>15</v>
      </c>
      <c r="C71" s="3">
        <v>45185</v>
      </c>
      <c r="D71" s="8">
        <v>873.13</v>
      </c>
    </row>
    <row r="72" spans="1:4" x14ac:dyDescent="0.3">
      <c r="A72" s="7" t="s">
        <v>4</v>
      </c>
      <c r="B72" s="2" t="s">
        <v>15</v>
      </c>
      <c r="C72" s="3">
        <v>45614</v>
      </c>
      <c r="D72" s="8">
        <v>787.59</v>
      </c>
    </row>
    <row r="73" spans="1:4" x14ac:dyDescent="0.3">
      <c r="A73" s="7" t="s">
        <v>6</v>
      </c>
      <c r="B73" s="2" t="s">
        <v>14</v>
      </c>
      <c r="C73" s="3">
        <v>45550</v>
      </c>
      <c r="D73" s="8">
        <v>518.61</v>
      </c>
    </row>
    <row r="74" spans="1:4" x14ac:dyDescent="0.3">
      <c r="A74" s="7" t="s">
        <v>5</v>
      </c>
      <c r="B74" s="2" t="s">
        <v>14</v>
      </c>
      <c r="C74" s="3">
        <v>45567</v>
      </c>
      <c r="D74" s="8">
        <v>356.72</v>
      </c>
    </row>
    <row r="75" spans="1:4" x14ac:dyDescent="0.3">
      <c r="A75" s="7" t="s">
        <v>4</v>
      </c>
      <c r="B75" s="2" t="s">
        <v>13</v>
      </c>
      <c r="C75" s="3">
        <v>45454</v>
      </c>
      <c r="D75" s="8">
        <v>691.11</v>
      </c>
    </row>
    <row r="76" spans="1:4" x14ac:dyDescent="0.3">
      <c r="A76" s="7" t="s">
        <v>7</v>
      </c>
      <c r="B76" s="2" t="s">
        <v>16</v>
      </c>
      <c r="C76" s="3">
        <v>45633</v>
      </c>
      <c r="D76" s="8">
        <v>317.67</v>
      </c>
    </row>
    <row r="77" spans="1:4" x14ac:dyDescent="0.3">
      <c r="A77" s="7" t="s">
        <v>4</v>
      </c>
      <c r="B77" s="2" t="s">
        <v>15</v>
      </c>
      <c r="C77" s="3">
        <v>45377</v>
      </c>
      <c r="D77" s="8">
        <v>268.08</v>
      </c>
    </row>
    <row r="78" spans="1:4" x14ac:dyDescent="0.3">
      <c r="A78" s="7" t="s">
        <v>4</v>
      </c>
      <c r="B78" s="2" t="s">
        <v>15</v>
      </c>
      <c r="C78" s="3">
        <v>45554</v>
      </c>
      <c r="D78" s="8">
        <v>847.77</v>
      </c>
    </row>
    <row r="79" spans="1:4" x14ac:dyDescent="0.3">
      <c r="A79" s="7" t="s">
        <v>6</v>
      </c>
      <c r="B79" s="2" t="s">
        <v>10</v>
      </c>
      <c r="C79" s="3">
        <v>45334</v>
      </c>
      <c r="D79" s="8">
        <v>821.46</v>
      </c>
    </row>
    <row r="80" spans="1:4" x14ac:dyDescent="0.3">
      <c r="A80" s="7" t="s">
        <v>6</v>
      </c>
      <c r="B80" s="2" t="s">
        <v>14</v>
      </c>
      <c r="C80" s="3">
        <v>45281</v>
      </c>
      <c r="D80" s="8">
        <v>691.53</v>
      </c>
    </row>
    <row r="81" spans="1:4" x14ac:dyDescent="0.3">
      <c r="A81" s="7" t="s">
        <v>3</v>
      </c>
      <c r="B81" s="2" t="s">
        <v>15</v>
      </c>
      <c r="C81" s="3">
        <v>44820</v>
      </c>
      <c r="D81" s="8">
        <v>847.65</v>
      </c>
    </row>
    <row r="82" spans="1:4" x14ac:dyDescent="0.3">
      <c r="A82" s="7" t="s">
        <v>5</v>
      </c>
      <c r="B82" s="2" t="s">
        <v>10</v>
      </c>
      <c r="C82" s="3">
        <v>45331</v>
      </c>
      <c r="D82" s="8">
        <v>497.83</v>
      </c>
    </row>
    <row r="83" spans="1:4" x14ac:dyDescent="0.3">
      <c r="A83" s="7" t="s">
        <v>8</v>
      </c>
      <c r="B83" s="2" t="s">
        <v>14</v>
      </c>
      <c r="C83" s="3">
        <v>45589</v>
      </c>
      <c r="D83" s="8">
        <v>59.16</v>
      </c>
    </row>
    <row r="84" spans="1:4" x14ac:dyDescent="0.3">
      <c r="A84" s="7" t="s">
        <v>7</v>
      </c>
      <c r="B84" s="2" t="s">
        <v>14</v>
      </c>
      <c r="C84" s="3">
        <v>45111</v>
      </c>
      <c r="D84" s="8">
        <v>412.3</v>
      </c>
    </row>
    <row r="85" spans="1:4" x14ac:dyDescent="0.3">
      <c r="A85" s="7" t="s">
        <v>4</v>
      </c>
      <c r="B85" s="2" t="s">
        <v>14</v>
      </c>
      <c r="C85" s="3">
        <v>45181</v>
      </c>
      <c r="D85" s="8">
        <v>398.74</v>
      </c>
    </row>
    <row r="86" spans="1:4" x14ac:dyDescent="0.3">
      <c r="A86" s="7" t="s">
        <v>3</v>
      </c>
      <c r="B86" s="2" t="s">
        <v>16</v>
      </c>
      <c r="C86" s="3">
        <v>45238</v>
      </c>
      <c r="D86" s="8">
        <v>454.38</v>
      </c>
    </row>
    <row r="87" spans="1:4" x14ac:dyDescent="0.3">
      <c r="A87" s="7" t="s">
        <v>7</v>
      </c>
      <c r="B87" s="2" t="s">
        <v>9</v>
      </c>
      <c r="C87" s="3">
        <v>45170</v>
      </c>
      <c r="D87" s="8">
        <v>115.31</v>
      </c>
    </row>
    <row r="88" spans="1:4" x14ac:dyDescent="0.3">
      <c r="A88" s="7" t="s">
        <v>3</v>
      </c>
      <c r="B88" s="2" t="s">
        <v>10</v>
      </c>
      <c r="C88" s="3">
        <v>44911</v>
      </c>
      <c r="D88" s="8">
        <v>347.7</v>
      </c>
    </row>
    <row r="89" spans="1:4" x14ac:dyDescent="0.3">
      <c r="A89" s="7" t="s">
        <v>6</v>
      </c>
      <c r="B89" s="2" t="s">
        <v>14</v>
      </c>
      <c r="C89" s="3">
        <v>45018</v>
      </c>
      <c r="D89" s="8">
        <v>483.92</v>
      </c>
    </row>
    <row r="90" spans="1:4" x14ac:dyDescent="0.3">
      <c r="A90" s="7" t="s">
        <v>6</v>
      </c>
      <c r="B90" s="2" t="s">
        <v>16</v>
      </c>
      <c r="C90" s="3">
        <v>45476</v>
      </c>
      <c r="D90" s="8">
        <v>112.62</v>
      </c>
    </row>
    <row r="91" spans="1:4" x14ac:dyDescent="0.3">
      <c r="A91" s="7" t="s">
        <v>4</v>
      </c>
      <c r="B91" s="2" t="s">
        <v>14</v>
      </c>
      <c r="C91" s="3">
        <v>44766</v>
      </c>
      <c r="D91" s="8">
        <v>193.1</v>
      </c>
    </row>
    <row r="92" spans="1:4" x14ac:dyDescent="0.3">
      <c r="A92" s="7" t="s">
        <v>5</v>
      </c>
      <c r="B92" s="2" t="s">
        <v>15</v>
      </c>
      <c r="C92" s="3">
        <v>45421</v>
      </c>
      <c r="D92" s="8">
        <v>276.32</v>
      </c>
    </row>
    <row r="93" spans="1:4" x14ac:dyDescent="0.3">
      <c r="A93" s="7" t="s">
        <v>8</v>
      </c>
      <c r="B93" s="2" t="s">
        <v>13</v>
      </c>
      <c r="C93" s="3">
        <v>45050</v>
      </c>
      <c r="D93" s="8">
        <v>701.71</v>
      </c>
    </row>
    <row r="94" spans="1:4" x14ac:dyDescent="0.3">
      <c r="A94" s="7" t="s">
        <v>5</v>
      </c>
      <c r="B94" s="2" t="s">
        <v>16</v>
      </c>
      <c r="C94" s="3">
        <v>45594</v>
      </c>
      <c r="D94" s="8">
        <v>101.27</v>
      </c>
    </row>
    <row r="95" spans="1:4" x14ac:dyDescent="0.3">
      <c r="A95" s="7" t="s">
        <v>3</v>
      </c>
      <c r="B95" s="2" t="s">
        <v>13</v>
      </c>
      <c r="C95" s="3">
        <v>45523</v>
      </c>
      <c r="D95" s="8">
        <v>514.53</v>
      </c>
    </row>
    <row r="96" spans="1:4" x14ac:dyDescent="0.3">
      <c r="A96" s="7" t="s">
        <v>4</v>
      </c>
      <c r="B96" s="2" t="s">
        <v>10</v>
      </c>
      <c r="C96" s="3">
        <v>44970</v>
      </c>
      <c r="D96" s="8">
        <v>824.94</v>
      </c>
    </row>
    <row r="97" spans="1:4" x14ac:dyDescent="0.3">
      <c r="A97" s="7" t="s">
        <v>3</v>
      </c>
      <c r="B97" s="2" t="s">
        <v>9</v>
      </c>
      <c r="C97" s="3">
        <v>44727</v>
      </c>
      <c r="D97" s="8">
        <v>860.85</v>
      </c>
    </row>
    <row r="98" spans="1:4" x14ac:dyDescent="0.3">
      <c r="A98" s="7" t="s">
        <v>4</v>
      </c>
      <c r="B98" s="2" t="s">
        <v>16</v>
      </c>
      <c r="C98" s="3">
        <v>44766</v>
      </c>
      <c r="D98" s="8">
        <v>385.23</v>
      </c>
    </row>
    <row r="99" spans="1:4" x14ac:dyDescent="0.3">
      <c r="A99" s="7" t="s">
        <v>6</v>
      </c>
      <c r="B99" s="2" t="s">
        <v>15</v>
      </c>
      <c r="C99" s="3">
        <v>45234</v>
      </c>
      <c r="D99" s="8">
        <v>858.57</v>
      </c>
    </row>
    <row r="100" spans="1:4" x14ac:dyDescent="0.3">
      <c r="A100" s="7" t="s">
        <v>4</v>
      </c>
      <c r="B100" s="2" t="s">
        <v>9</v>
      </c>
      <c r="C100" s="3">
        <v>44888</v>
      </c>
      <c r="D100" s="8">
        <v>726.62</v>
      </c>
    </row>
    <row r="101" spans="1:4" x14ac:dyDescent="0.3">
      <c r="A101" s="7" t="s">
        <v>5</v>
      </c>
      <c r="B101" s="2" t="s">
        <v>13</v>
      </c>
      <c r="C101" s="3">
        <v>45150</v>
      </c>
      <c r="D101" s="8">
        <v>971.47</v>
      </c>
    </row>
    <row r="102" spans="1:4" x14ac:dyDescent="0.3">
      <c r="A102" s="7" t="s">
        <v>3</v>
      </c>
      <c r="B102" s="2" t="s">
        <v>15</v>
      </c>
      <c r="C102" s="3">
        <v>45514</v>
      </c>
      <c r="D102" s="8">
        <v>936.34</v>
      </c>
    </row>
    <row r="103" spans="1:4" x14ac:dyDescent="0.3">
      <c r="A103" s="7" t="s">
        <v>4</v>
      </c>
      <c r="B103" s="2" t="s">
        <v>9</v>
      </c>
      <c r="C103" s="3">
        <v>45246</v>
      </c>
      <c r="D103" s="8">
        <v>367.49</v>
      </c>
    </row>
    <row r="104" spans="1:4" x14ac:dyDescent="0.3">
      <c r="A104" s="7" t="s">
        <v>5</v>
      </c>
      <c r="B104" s="2" t="s">
        <v>16</v>
      </c>
      <c r="C104" s="3">
        <v>45431</v>
      </c>
      <c r="D104" s="8">
        <v>187.18</v>
      </c>
    </row>
    <row r="105" spans="1:4" x14ac:dyDescent="0.3">
      <c r="A105" s="7" t="s">
        <v>8</v>
      </c>
      <c r="B105" s="2" t="s">
        <v>10</v>
      </c>
      <c r="C105" s="3">
        <v>44799</v>
      </c>
      <c r="D105" s="8">
        <v>502.6</v>
      </c>
    </row>
    <row r="106" spans="1:4" x14ac:dyDescent="0.3">
      <c r="A106" s="7" t="s">
        <v>6</v>
      </c>
      <c r="B106" s="2" t="s">
        <v>10</v>
      </c>
      <c r="C106" s="3">
        <v>45199</v>
      </c>
      <c r="D106" s="8">
        <v>243.81</v>
      </c>
    </row>
    <row r="107" spans="1:4" x14ac:dyDescent="0.3">
      <c r="A107" s="7" t="s">
        <v>5</v>
      </c>
      <c r="B107" s="2" t="s">
        <v>13</v>
      </c>
      <c r="C107" s="3">
        <v>45123</v>
      </c>
      <c r="D107" s="8">
        <v>69.39</v>
      </c>
    </row>
    <row r="108" spans="1:4" x14ac:dyDescent="0.3">
      <c r="A108" s="7" t="s">
        <v>3</v>
      </c>
      <c r="B108" s="2" t="s">
        <v>16</v>
      </c>
      <c r="C108" s="3">
        <v>45093</v>
      </c>
      <c r="D108" s="8">
        <v>668.22</v>
      </c>
    </row>
    <row r="109" spans="1:4" x14ac:dyDescent="0.3">
      <c r="A109" s="7" t="s">
        <v>7</v>
      </c>
      <c r="B109" s="2" t="s">
        <v>16</v>
      </c>
      <c r="C109" s="3">
        <v>44702</v>
      </c>
      <c r="D109" s="8">
        <v>818.38</v>
      </c>
    </row>
    <row r="110" spans="1:4" x14ac:dyDescent="0.3">
      <c r="A110" s="7" t="s">
        <v>6</v>
      </c>
      <c r="B110" s="2" t="s">
        <v>15</v>
      </c>
      <c r="C110" s="3">
        <v>44824</v>
      </c>
      <c r="D110" s="8">
        <v>113.32</v>
      </c>
    </row>
    <row r="111" spans="1:4" x14ac:dyDescent="0.3">
      <c r="A111" s="7" t="s">
        <v>5</v>
      </c>
      <c r="B111" s="2" t="s">
        <v>15</v>
      </c>
      <c r="C111" s="3">
        <v>45495</v>
      </c>
      <c r="D111" s="8">
        <v>719.42</v>
      </c>
    </row>
    <row r="112" spans="1:4" x14ac:dyDescent="0.3">
      <c r="A112" s="7" t="s">
        <v>5</v>
      </c>
      <c r="B112" s="2" t="s">
        <v>14</v>
      </c>
      <c r="C112" s="3">
        <v>44588</v>
      </c>
      <c r="D112" s="8">
        <v>493.16</v>
      </c>
    </row>
    <row r="113" spans="1:4" x14ac:dyDescent="0.3">
      <c r="A113" s="7" t="s">
        <v>4</v>
      </c>
      <c r="B113" s="2" t="s">
        <v>16</v>
      </c>
      <c r="C113" s="3">
        <v>45412</v>
      </c>
      <c r="D113" s="8">
        <v>286.99</v>
      </c>
    </row>
    <row r="114" spans="1:4" x14ac:dyDescent="0.3">
      <c r="A114" s="7" t="s">
        <v>3</v>
      </c>
      <c r="B114" s="2" t="s">
        <v>14</v>
      </c>
      <c r="C114" s="3">
        <v>44640</v>
      </c>
      <c r="D114" s="8">
        <v>370.28</v>
      </c>
    </row>
    <row r="115" spans="1:4" x14ac:dyDescent="0.3">
      <c r="A115" s="7" t="s">
        <v>5</v>
      </c>
      <c r="B115" s="2" t="s">
        <v>15</v>
      </c>
      <c r="C115" s="3">
        <v>44698</v>
      </c>
      <c r="D115" s="8">
        <v>265.97000000000003</v>
      </c>
    </row>
    <row r="116" spans="1:4" x14ac:dyDescent="0.3">
      <c r="A116" s="7" t="s">
        <v>4</v>
      </c>
      <c r="B116" s="2" t="s">
        <v>13</v>
      </c>
      <c r="C116" s="3">
        <v>44640</v>
      </c>
      <c r="D116" s="8">
        <v>400.67</v>
      </c>
    </row>
    <row r="117" spans="1:4" x14ac:dyDescent="0.3">
      <c r="A117" s="7" t="s">
        <v>4</v>
      </c>
      <c r="B117" s="2" t="s">
        <v>15</v>
      </c>
      <c r="C117" s="3">
        <v>44680</v>
      </c>
      <c r="D117" s="8">
        <v>966.51</v>
      </c>
    </row>
    <row r="118" spans="1:4" x14ac:dyDescent="0.3">
      <c r="A118" s="7" t="s">
        <v>3</v>
      </c>
      <c r="B118" s="2" t="s">
        <v>13</v>
      </c>
      <c r="C118" s="3">
        <v>44608</v>
      </c>
      <c r="D118" s="8">
        <v>702.79</v>
      </c>
    </row>
    <row r="119" spans="1:4" x14ac:dyDescent="0.3">
      <c r="A119" s="7" t="s">
        <v>4</v>
      </c>
      <c r="B119" s="2" t="s">
        <v>16</v>
      </c>
      <c r="C119" s="3">
        <v>45451</v>
      </c>
      <c r="D119" s="8">
        <v>228.04</v>
      </c>
    </row>
    <row r="120" spans="1:4" x14ac:dyDescent="0.3">
      <c r="A120" s="7" t="s">
        <v>3</v>
      </c>
      <c r="B120" s="2" t="s">
        <v>16</v>
      </c>
      <c r="C120" s="3">
        <v>45563</v>
      </c>
      <c r="D120" s="8">
        <v>86.59</v>
      </c>
    </row>
    <row r="121" spans="1:4" x14ac:dyDescent="0.3">
      <c r="A121" s="7" t="s">
        <v>3</v>
      </c>
      <c r="B121" s="2" t="s">
        <v>13</v>
      </c>
      <c r="C121" s="3">
        <v>45230</v>
      </c>
      <c r="D121" s="8">
        <v>223.84</v>
      </c>
    </row>
    <row r="122" spans="1:4" x14ac:dyDescent="0.3">
      <c r="A122" s="7" t="s">
        <v>4</v>
      </c>
      <c r="B122" s="2" t="s">
        <v>13</v>
      </c>
      <c r="C122" s="3">
        <v>45188</v>
      </c>
      <c r="D122" s="8">
        <v>109.16</v>
      </c>
    </row>
    <row r="123" spans="1:4" x14ac:dyDescent="0.3">
      <c r="A123" s="7" t="s">
        <v>3</v>
      </c>
      <c r="B123" s="2" t="s">
        <v>14</v>
      </c>
      <c r="C123" s="3">
        <v>44690</v>
      </c>
      <c r="D123" s="8">
        <v>510.53</v>
      </c>
    </row>
    <row r="124" spans="1:4" x14ac:dyDescent="0.3">
      <c r="A124" s="7" t="s">
        <v>6</v>
      </c>
      <c r="B124" s="2" t="s">
        <v>14</v>
      </c>
      <c r="C124" s="3">
        <v>44807</v>
      </c>
      <c r="D124" s="8">
        <v>210.73</v>
      </c>
    </row>
    <row r="125" spans="1:4" x14ac:dyDescent="0.3">
      <c r="A125" s="7" t="s">
        <v>8</v>
      </c>
      <c r="B125" s="2" t="s">
        <v>16</v>
      </c>
      <c r="C125" s="3">
        <v>44808</v>
      </c>
      <c r="D125" s="8">
        <v>830.48</v>
      </c>
    </row>
    <row r="126" spans="1:4" x14ac:dyDescent="0.3">
      <c r="A126" s="7" t="s">
        <v>5</v>
      </c>
      <c r="B126" s="2" t="s">
        <v>14</v>
      </c>
      <c r="C126" s="3">
        <v>44977</v>
      </c>
      <c r="D126" s="8">
        <v>178.77</v>
      </c>
    </row>
    <row r="127" spans="1:4" x14ac:dyDescent="0.3">
      <c r="A127" s="7" t="s">
        <v>3</v>
      </c>
      <c r="B127" s="2" t="s">
        <v>16</v>
      </c>
      <c r="C127" s="3">
        <v>45362</v>
      </c>
      <c r="D127" s="8">
        <v>113.49</v>
      </c>
    </row>
    <row r="128" spans="1:4" x14ac:dyDescent="0.3">
      <c r="A128" s="7" t="s">
        <v>8</v>
      </c>
      <c r="B128" s="2" t="s">
        <v>16</v>
      </c>
      <c r="C128" s="3">
        <v>44896</v>
      </c>
      <c r="D128" s="8">
        <v>966.92</v>
      </c>
    </row>
    <row r="129" spans="1:4" x14ac:dyDescent="0.3">
      <c r="A129" s="7" t="s">
        <v>5</v>
      </c>
      <c r="B129" s="2" t="s">
        <v>13</v>
      </c>
      <c r="C129" s="3">
        <v>45205</v>
      </c>
      <c r="D129" s="8">
        <v>345.49</v>
      </c>
    </row>
    <row r="130" spans="1:4" x14ac:dyDescent="0.3">
      <c r="A130" s="7" t="s">
        <v>6</v>
      </c>
      <c r="B130" s="2" t="s">
        <v>9</v>
      </c>
      <c r="C130" s="3">
        <v>45126</v>
      </c>
      <c r="D130" s="8">
        <v>112.34</v>
      </c>
    </row>
    <row r="131" spans="1:4" x14ac:dyDescent="0.3">
      <c r="A131" s="7" t="s">
        <v>4</v>
      </c>
      <c r="B131" s="2" t="s">
        <v>9</v>
      </c>
      <c r="C131" s="3">
        <v>45633</v>
      </c>
      <c r="D131" s="8">
        <v>906.16</v>
      </c>
    </row>
    <row r="132" spans="1:4" x14ac:dyDescent="0.3">
      <c r="A132" s="7" t="s">
        <v>4</v>
      </c>
      <c r="B132" s="2" t="s">
        <v>14</v>
      </c>
      <c r="C132" s="3">
        <v>45225</v>
      </c>
      <c r="D132" s="8">
        <v>626.47</v>
      </c>
    </row>
    <row r="133" spans="1:4" x14ac:dyDescent="0.3">
      <c r="A133" s="7" t="s">
        <v>8</v>
      </c>
      <c r="B133" s="2" t="s">
        <v>14</v>
      </c>
      <c r="C133" s="3">
        <v>45441</v>
      </c>
      <c r="D133" s="8">
        <v>588.30999999999995</v>
      </c>
    </row>
    <row r="134" spans="1:4" x14ac:dyDescent="0.3">
      <c r="A134" s="7" t="s">
        <v>4</v>
      </c>
      <c r="B134" s="2" t="s">
        <v>16</v>
      </c>
      <c r="C134" s="3">
        <v>45015</v>
      </c>
      <c r="D134" s="8">
        <v>425.63</v>
      </c>
    </row>
    <row r="135" spans="1:4" x14ac:dyDescent="0.3">
      <c r="A135" s="7" t="s">
        <v>8</v>
      </c>
      <c r="B135" s="2" t="s">
        <v>16</v>
      </c>
      <c r="C135" s="3">
        <v>44899</v>
      </c>
      <c r="D135" s="8">
        <v>434.05</v>
      </c>
    </row>
    <row r="136" spans="1:4" x14ac:dyDescent="0.3">
      <c r="A136" s="7" t="s">
        <v>5</v>
      </c>
      <c r="B136" s="2" t="s">
        <v>15</v>
      </c>
      <c r="C136" s="3">
        <v>45288</v>
      </c>
      <c r="D136" s="8">
        <v>926.15</v>
      </c>
    </row>
    <row r="137" spans="1:4" x14ac:dyDescent="0.3">
      <c r="A137" s="7" t="s">
        <v>4</v>
      </c>
      <c r="B137" s="2" t="s">
        <v>13</v>
      </c>
      <c r="C137" s="3">
        <v>44881</v>
      </c>
      <c r="D137" s="8">
        <v>657.67</v>
      </c>
    </row>
    <row r="138" spans="1:4" x14ac:dyDescent="0.3">
      <c r="A138" s="7" t="s">
        <v>5</v>
      </c>
      <c r="B138" s="2" t="s">
        <v>9</v>
      </c>
      <c r="C138" s="3">
        <v>44758</v>
      </c>
      <c r="D138" s="8">
        <v>211.25</v>
      </c>
    </row>
    <row r="139" spans="1:4" x14ac:dyDescent="0.3">
      <c r="A139" s="7" t="s">
        <v>7</v>
      </c>
      <c r="B139" s="2" t="s">
        <v>16</v>
      </c>
      <c r="C139" s="3">
        <v>45198</v>
      </c>
      <c r="D139" s="8">
        <v>296.25</v>
      </c>
    </row>
    <row r="140" spans="1:4" x14ac:dyDescent="0.3">
      <c r="A140" s="7" t="s">
        <v>7</v>
      </c>
      <c r="B140" s="2" t="s">
        <v>9</v>
      </c>
      <c r="C140" s="3">
        <v>45495</v>
      </c>
      <c r="D140" s="8">
        <v>562.41999999999996</v>
      </c>
    </row>
    <row r="141" spans="1:4" x14ac:dyDescent="0.3">
      <c r="A141" s="7" t="s">
        <v>6</v>
      </c>
      <c r="B141" s="2" t="s">
        <v>13</v>
      </c>
      <c r="C141" s="3">
        <v>44936</v>
      </c>
      <c r="D141" s="8">
        <v>969.24</v>
      </c>
    </row>
    <row r="142" spans="1:4" x14ac:dyDescent="0.3">
      <c r="A142" s="7" t="s">
        <v>4</v>
      </c>
      <c r="B142" s="2" t="s">
        <v>15</v>
      </c>
      <c r="C142" s="3">
        <v>44922</v>
      </c>
      <c r="D142" s="8">
        <v>252.78</v>
      </c>
    </row>
    <row r="143" spans="1:4" x14ac:dyDescent="0.3">
      <c r="A143" s="7" t="s">
        <v>7</v>
      </c>
      <c r="B143" s="2" t="s">
        <v>9</v>
      </c>
      <c r="C143" s="3">
        <v>45313</v>
      </c>
      <c r="D143" s="8">
        <v>222.12</v>
      </c>
    </row>
    <row r="144" spans="1:4" x14ac:dyDescent="0.3">
      <c r="A144" s="7" t="s">
        <v>8</v>
      </c>
      <c r="B144" s="2" t="s">
        <v>16</v>
      </c>
      <c r="C144" s="3">
        <v>45341</v>
      </c>
      <c r="D144" s="8">
        <v>76.75</v>
      </c>
    </row>
    <row r="145" spans="1:4" x14ac:dyDescent="0.3">
      <c r="A145" s="7" t="s">
        <v>8</v>
      </c>
      <c r="B145" s="2" t="s">
        <v>10</v>
      </c>
      <c r="C145" s="3">
        <v>45563</v>
      </c>
      <c r="D145" s="8">
        <v>379.6</v>
      </c>
    </row>
    <row r="146" spans="1:4" x14ac:dyDescent="0.3">
      <c r="A146" s="7" t="s">
        <v>4</v>
      </c>
      <c r="B146" s="2" t="s">
        <v>10</v>
      </c>
      <c r="C146" s="3">
        <v>45524</v>
      </c>
      <c r="D146" s="8">
        <v>304.02</v>
      </c>
    </row>
    <row r="147" spans="1:4" x14ac:dyDescent="0.3">
      <c r="A147" s="7" t="s">
        <v>5</v>
      </c>
      <c r="B147" s="2" t="s">
        <v>9</v>
      </c>
      <c r="C147" s="3">
        <v>45361</v>
      </c>
      <c r="D147" s="8">
        <v>67.98</v>
      </c>
    </row>
    <row r="148" spans="1:4" x14ac:dyDescent="0.3">
      <c r="A148" s="7" t="s">
        <v>5</v>
      </c>
      <c r="B148" s="2" t="s">
        <v>14</v>
      </c>
      <c r="C148" s="3">
        <v>44637</v>
      </c>
      <c r="D148" s="8">
        <v>924.83</v>
      </c>
    </row>
    <row r="149" spans="1:4" x14ac:dyDescent="0.3">
      <c r="A149" s="7" t="s">
        <v>7</v>
      </c>
      <c r="B149" s="2" t="s">
        <v>16</v>
      </c>
      <c r="C149" s="3">
        <v>44608</v>
      </c>
      <c r="D149" s="8">
        <v>744.21</v>
      </c>
    </row>
    <row r="150" spans="1:4" x14ac:dyDescent="0.3">
      <c r="A150" s="7" t="s">
        <v>4</v>
      </c>
      <c r="B150" s="2" t="s">
        <v>10</v>
      </c>
      <c r="C150" s="3">
        <v>44893</v>
      </c>
      <c r="D150" s="8">
        <v>395.98</v>
      </c>
    </row>
    <row r="151" spans="1:4" x14ac:dyDescent="0.3">
      <c r="A151" s="7" t="s">
        <v>3</v>
      </c>
      <c r="B151" s="2" t="s">
        <v>15</v>
      </c>
      <c r="C151" s="3">
        <v>45029</v>
      </c>
      <c r="D151" s="8">
        <v>160.21</v>
      </c>
    </row>
    <row r="152" spans="1:4" x14ac:dyDescent="0.3">
      <c r="A152" s="7" t="s">
        <v>7</v>
      </c>
      <c r="B152" s="2" t="s">
        <v>15</v>
      </c>
      <c r="C152" s="3">
        <v>45623</v>
      </c>
      <c r="D152" s="8">
        <v>278.77</v>
      </c>
    </row>
    <row r="153" spans="1:4" x14ac:dyDescent="0.3">
      <c r="A153" s="7" t="s">
        <v>6</v>
      </c>
      <c r="B153" s="2" t="s">
        <v>10</v>
      </c>
      <c r="C153" s="3">
        <v>44859</v>
      </c>
      <c r="D153" s="8">
        <v>705.7</v>
      </c>
    </row>
    <row r="154" spans="1:4" x14ac:dyDescent="0.3">
      <c r="A154" s="7" t="s">
        <v>8</v>
      </c>
      <c r="B154" s="2" t="s">
        <v>9</v>
      </c>
      <c r="C154" s="3">
        <v>44778</v>
      </c>
      <c r="D154" s="8">
        <v>162.51</v>
      </c>
    </row>
    <row r="155" spans="1:4" x14ac:dyDescent="0.3">
      <c r="A155" s="7" t="s">
        <v>3</v>
      </c>
      <c r="B155" s="2" t="s">
        <v>10</v>
      </c>
      <c r="C155" s="3">
        <v>45157</v>
      </c>
      <c r="D155" s="8">
        <v>550.04999999999995</v>
      </c>
    </row>
    <row r="156" spans="1:4" x14ac:dyDescent="0.3">
      <c r="A156" s="7" t="s">
        <v>3</v>
      </c>
      <c r="B156" s="2" t="s">
        <v>15</v>
      </c>
      <c r="C156" s="3">
        <v>44572</v>
      </c>
      <c r="D156" s="8">
        <v>691.5</v>
      </c>
    </row>
    <row r="157" spans="1:4" x14ac:dyDescent="0.3">
      <c r="A157" s="7" t="s">
        <v>4</v>
      </c>
      <c r="B157" s="2" t="s">
        <v>15</v>
      </c>
      <c r="C157" s="3">
        <v>44611</v>
      </c>
      <c r="D157" s="8">
        <v>540.86</v>
      </c>
    </row>
    <row r="158" spans="1:4" x14ac:dyDescent="0.3">
      <c r="A158" s="7" t="s">
        <v>5</v>
      </c>
      <c r="B158" s="2" t="s">
        <v>10</v>
      </c>
      <c r="C158" s="3">
        <v>44692</v>
      </c>
      <c r="D158" s="8">
        <v>424.94</v>
      </c>
    </row>
    <row r="159" spans="1:4" x14ac:dyDescent="0.3">
      <c r="A159" s="7" t="s">
        <v>6</v>
      </c>
      <c r="B159" s="2" t="s">
        <v>16</v>
      </c>
      <c r="C159" s="3">
        <v>45467</v>
      </c>
      <c r="D159" s="8">
        <v>441.74</v>
      </c>
    </row>
    <row r="160" spans="1:4" x14ac:dyDescent="0.3">
      <c r="A160" s="7" t="s">
        <v>3</v>
      </c>
      <c r="B160" s="2" t="s">
        <v>14</v>
      </c>
      <c r="C160" s="3">
        <v>45375</v>
      </c>
      <c r="D160" s="8">
        <v>416.3</v>
      </c>
    </row>
    <row r="161" spans="1:4" x14ac:dyDescent="0.3">
      <c r="A161" s="7" t="s">
        <v>3</v>
      </c>
      <c r="B161" s="2" t="s">
        <v>15</v>
      </c>
      <c r="C161" s="3">
        <v>45425</v>
      </c>
      <c r="D161" s="8">
        <v>756.59</v>
      </c>
    </row>
    <row r="162" spans="1:4" x14ac:dyDescent="0.3">
      <c r="A162" s="7" t="s">
        <v>5</v>
      </c>
      <c r="B162" s="2" t="s">
        <v>16</v>
      </c>
      <c r="C162" s="3">
        <v>45260</v>
      </c>
      <c r="D162" s="8">
        <v>945.55</v>
      </c>
    </row>
    <row r="163" spans="1:4" x14ac:dyDescent="0.3">
      <c r="A163" s="7" t="s">
        <v>5</v>
      </c>
      <c r="B163" s="2" t="s">
        <v>9</v>
      </c>
      <c r="C163" s="3">
        <v>44760</v>
      </c>
      <c r="D163" s="8">
        <v>121.03</v>
      </c>
    </row>
    <row r="164" spans="1:4" x14ac:dyDescent="0.3">
      <c r="A164" s="7" t="s">
        <v>6</v>
      </c>
      <c r="B164" s="2" t="s">
        <v>9</v>
      </c>
      <c r="C164" s="3">
        <v>45185</v>
      </c>
      <c r="D164" s="8">
        <v>343.33</v>
      </c>
    </row>
    <row r="165" spans="1:4" x14ac:dyDescent="0.3">
      <c r="A165" s="7" t="s">
        <v>7</v>
      </c>
      <c r="B165" s="2" t="s">
        <v>16</v>
      </c>
      <c r="C165" s="3">
        <v>45229</v>
      </c>
      <c r="D165" s="8">
        <v>661.01</v>
      </c>
    </row>
    <row r="166" spans="1:4" x14ac:dyDescent="0.3">
      <c r="A166" s="7" t="s">
        <v>6</v>
      </c>
      <c r="B166" s="2" t="s">
        <v>10</v>
      </c>
      <c r="C166" s="3">
        <v>45446</v>
      </c>
      <c r="D166" s="8">
        <v>196.8</v>
      </c>
    </row>
    <row r="167" spans="1:4" x14ac:dyDescent="0.3">
      <c r="A167" s="7" t="s">
        <v>8</v>
      </c>
      <c r="B167" s="2" t="s">
        <v>15</v>
      </c>
      <c r="C167" s="3">
        <v>45208</v>
      </c>
      <c r="D167" s="8">
        <v>140.47</v>
      </c>
    </row>
    <row r="168" spans="1:4" x14ac:dyDescent="0.3">
      <c r="A168" s="7" t="s">
        <v>4</v>
      </c>
      <c r="B168" s="2" t="s">
        <v>14</v>
      </c>
      <c r="C168" s="3">
        <v>45393</v>
      </c>
      <c r="D168" s="8">
        <v>898.13</v>
      </c>
    </row>
    <row r="169" spans="1:4" x14ac:dyDescent="0.3">
      <c r="A169" s="7" t="s">
        <v>5</v>
      </c>
      <c r="B169" s="2" t="s">
        <v>10</v>
      </c>
      <c r="C169" s="3">
        <v>45523</v>
      </c>
      <c r="D169" s="8">
        <v>481.9</v>
      </c>
    </row>
    <row r="170" spans="1:4" x14ac:dyDescent="0.3">
      <c r="A170" s="7" t="s">
        <v>7</v>
      </c>
      <c r="B170" s="2" t="s">
        <v>15</v>
      </c>
      <c r="C170" s="3">
        <v>44612</v>
      </c>
      <c r="D170" s="8">
        <v>834.8</v>
      </c>
    </row>
    <row r="171" spans="1:4" x14ac:dyDescent="0.3">
      <c r="A171" s="7" t="s">
        <v>4</v>
      </c>
      <c r="B171" s="2" t="s">
        <v>14</v>
      </c>
      <c r="C171" s="3">
        <v>45282</v>
      </c>
      <c r="D171" s="8">
        <v>732.39</v>
      </c>
    </row>
    <row r="172" spans="1:4" x14ac:dyDescent="0.3">
      <c r="A172" s="7" t="s">
        <v>6</v>
      </c>
      <c r="B172" s="2" t="s">
        <v>15</v>
      </c>
      <c r="C172" s="3">
        <v>45553</v>
      </c>
      <c r="D172" s="8">
        <v>160.46</v>
      </c>
    </row>
    <row r="173" spans="1:4" x14ac:dyDescent="0.3">
      <c r="A173" s="7" t="s">
        <v>3</v>
      </c>
      <c r="B173" s="2" t="s">
        <v>14</v>
      </c>
      <c r="C173" s="3">
        <v>44945</v>
      </c>
      <c r="D173" s="8">
        <v>103.76</v>
      </c>
    </row>
    <row r="174" spans="1:4" x14ac:dyDescent="0.3">
      <c r="A174" s="7" t="s">
        <v>6</v>
      </c>
      <c r="B174" s="2" t="s">
        <v>9</v>
      </c>
      <c r="C174" s="3">
        <v>44763</v>
      </c>
      <c r="D174" s="8">
        <v>933.95</v>
      </c>
    </row>
    <row r="175" spans="1:4" x14ac:dyDescent="0.3">
      <c r="A175" s="7" t="s">
        <v>8</v>
      </c>
      <c r="B175" s="2" t="s">
        <v>9</v>
      </c>
      <c r="C175" s="3">
        <v>45280</v>
      </c>
      <c r="D175" s="8">
        <v>692.5</v>
      </c>
    </row>
    <row r="176" spans="1:4" x14ac:dyDescent="0.3">
      <c r="A176" s="7" t="s">
        <v>3</v>
      </c>
      <c r="B176" s="2" t="s">
        <v>13</v>
      </c>
      <c r="C176" s="3">
        <v>45112</v>
      </c>
      <c r="D176" s="8">
        <v>512.96</v>
      </c>
    </row>
    <row r="177" spans="1:4" x14ac:dyDescent="0.3">
      <c r="A177" s="7" t="s">
        <v>3</v>
      </c>
      <c r="B177" s="2" t="s">
        <v>10</v>
      </c>
      <c r="C177" s="3">
        <v>45610</v>
      </c>
      <c r="D177" s="8">
        <v>135.15</v>
      </c>
    </row>
    <row r="178" spans="1:4" x14ac:dyDescent="0.3">
      <c r="A178" s="7" t="s">
        <v>3</v>
      </c>
      <c r="B178" s="2" t="s">
        <v>15</v>
      </c>
      <c r="C178" s="3">
        <v>45341</v>
      </c>
      <c r="D178" s="8">
        <v>644.51</v>
      </c>
    </row>
    <row r="179" spans="1:4" x14ac:dyDescent="0.3">
      <c r="A179" s="7" t="s">
        <v>3</v>
      </c>
      <c r="B179" s="2" t="s">
        <v>9</v>
      </c>
      <c r="C179" s="3">
        <v>44571</v>
      </c>
      <c r="D179" s="8">
        <v>527.45000000000005</v>
      </c>
    </row>
    <row r="180" spans="1:4" x14ac:dyDescent="0.3">
      <c r="A180" s="7" t="s">
        <v>5</v>
      </c>
      <c r="B180" s="2" t="s">
        <v>9</v>
      </c>
      <c r="C180" s="3">
        <v>44919</v>
      </c>
      <c r="D180" s="8">
        <v>630.52</v>
      </c>
    </row>
    <row r="181" spans="1:4" x14ac:dyDescent="0.3">
      <c r="A181" s="7" t="s">
        <v>8</v>
      </c>
      <c r="B181" s="2" t="s">
        <v>9</v>
      </c>
      <c r="C181" s="3">
        <v>44771</v>
      </c>
      <c r="D181" s="8">
        <v>382.73</v>
      </c>
    </row>
    <row r="182" spans="1:4" x14ac:dyDescent="0.3">
      <c r="A182" s="7" t="s">
        <v>6</v>
      </c>
      <c r="B182" s="2" t="s">
        <v>15</v>
      </c>
      <c r="C182" s="3">
        <v>45304</v>
      </c>
      <c r="D182" s="8">
        <v>503.96</v>
      </c>
    </row>
    <row r="183" spans="1:4" x14ac:dyDescent="0.3">
      <c r="A183" s="7" t="s">
        <v>3</v>
      </c>
      <c r="B183" s="2" t="s">
        <v>10</v>
      </c>
      <c r="C183" s="3">
        <v>45079</v>
      </c>
      <c r="D183" s="8">
        <v>821.82</v>
      </c>
    </row>
    <row r="184" spans="1:4" x14ac:dyDescent="0.3">
      <c r="A184" s="7" t="s">
        <v>3</v>
      </c>
      <c r="B184" s="2" t="s">
        <v>15</v>
      </c>
      <c r="C184" s="3">
        <v>45334</v>
      </c>
      <c r="D184" s="8">
        <v>331.81</v>
      </c>
    </row>
    <row r="185" spans="1:4" x14ac:dyDescent="0.3">
      <c r="A185" s="7" t="s">
        <v>3</v>
      </c>
      <c r="B185" s="2" t="s">
        <v>13</v>
      </c>
      <c r="C185" s="3">
        <v>45164</v>
      </c>
      <c r="D185" s="8">
        <v>783.65</v>
      </c>
    </row>
    <row r="186" spans="1:4" x14ac:dyDescent="0.3">
      <c r="A186" s="7" t="s">
        <v>7</v>
      </c>
      <c r="B186" s="2" t="s">
        <v>14</v>
      </c>
      <c r="C186" s="3">
        <v>45403</v>
      </c>
      <c r="D186" s="8">
        <v>461.51</v>
      </c>
    </row>
    <row r="187" spans="1:4" x14ac:dyDescent="0.3">
      <c r="A187" s="7" t="s">
        <v>6</v>
      </c>
      <c r="B187" s="2" t="s">
        <v>13</v>
      </c>
      <c r="C187" s="3">
        <v>45170</v>
      </c>
      <c r="D187" s="8">
        <v>875.75</v>
      </c>
    </row>
    <row r="188" spans="1:4" x14ac:dyDescent="0.3">
      <c r="A188" s="7" t="s">
        <v>3</v>
      </c>
      <c r="B188" s="2" t="s">
        <v>13</v>
      </c>
      <c r="C188" s="3">
        <v>45085</v>
      </c>
      <c r="D188" s="8">
        <v>800.42</v>
      </c>
    </row>
    <row r="189" spans="1:4" x14ac:dyDescent="0.3">
      <c r="A189" s="7" t="s">
        <v>7</v>
      </c>
      <c r="B189" s="2" t="s">
        <v>16</v>
      </c>
      <c r="C189" s="3">
        <v>44864</v>
      </c>
      <c r="D189" s="8">
        <v>406.35</v>
      </c>
    </row>
    <row r="190" spans="1:4" x14ac:dyDescent="0.3">
      <c r="A190" s="7" t="s">
        <v>4</v>
      </c>
      <c r="B190" s="2" t="s">
        <v>10</v>
      </c>
      <c r="C190" s="3">
        <v>44923</v>
      </c>
      <c r="D190" s="8">
        <v>458.64</v>
      </c>
    </row>
    <row r="191" spans="1:4" x14ac:dyDescent="0.3">
      <c r="A191" s="7" t="s">
        <v>3</v>
      </c>
      <c r="B191" s="2" t="s">
        <v>9</v>
      </c>
      <c r="C191" s="3">
        <v>45446</v>
      </c>
      <c r="D191" s="8">
        <v>838.02</v>
      </c>
    </row>
    <row r="192" spans="1:4" x14ac:dyDescent="0.3">
      <c r="A192" s="7" t="s">
        <v>6</v>
      </c>
      <c r="B192" s="2" t="s">
        <v>14</v>
      </c>
      <c r="C192" s="3">
        <v>45607</v>
      </c>
      <c r="D192" s="8">
        <v>332.98</v>
      </c>
    </row>
    <row r="193" spans="1:4" x14ac:dyDescent="0.3">
      <c r="A193" s="7" t="s">
        <v>6</v>
      </c>
      <c r="B193" s="2" t="s">
        <v>14</v>
      </c>
      <c r="C193" s="3">
        <v>45203</v>
      </c>
      <c r="D193" s="8">
        <v>221.97</v>
      </c>
    </row>
    <row r="194" spans="1:4" x14ac:dyDescent="0.3">
      <c r="A194" s="7" t="s">
        <v>7</v>
      </c>
      <c r="B194" s="2" t="s">
        <v>10</v>
      </c>
      <c r="C194" s="3">
        <v>45312</v>
      </c>
      <c r="D194" s="8">
        <v>118.43</v>
      </c>
    </row>
    <row r="195" spans="1:4" x14ac:dyDescent="0.3">
      <c r="A195" s="7" t="s">
        <v>8</v>
      </c>
      <c r="B195" s="2" t="s">
        <v>14</v>
      </c>
      <c r="C195" s="3">
        <v>45476</v>
      </c>
      <c r="D195" s="8">
        <v>453.01</v>
      </c>
    </row>
    <row r="196" spans="1:4" x14ac:dyDescent="0.3">
      <c r="A196" s="7" t="s">
        <v>7</v>
      </c>
      <c r="B196" s="2" t="s">
        <v>16</v>
      </c>
      <c r="C196" s="3">
        <v>45212</v>
      </c>
      <c r="D196" s="8">
        <v>245.42</v>
      </c>
    </row>
    <row r="197" spans="1:4" x14ac:dyDescent="0.3">
      <c r="A197" s="7" t="s">
        <v>7</v>
      </c>
      <c r="B197" s="2" t="s">
        <v>15</v>
      </c>
      <c r="C197" s="3">
        <v>44843</v>
      </c>
      <c r="D197" s="8">
        <v>988.25</v>
      </c>
    </row>
    <row r="198" spans="1:4" x14ac:dyDescent="0.3">
      <c r="A198" s="7" t="s">
        <v>8</v>
      </c>
      <c r="B198" s="2" t="s">
        <v>15</v>
      </c>
      <c r="C198" s="3">
        <v>44942</v>
      </c>
      <c r="D198" s="8">
        <v>554.61</v>
      </c>
    </row>
    <row r="199" spans="1:4" x14ac:dyDescent="0.3">
      <c r="A199" s="7" t="s">
        <v>4</v>
      </c>
      <c r="B199" s="2" t="s">
        <v>14</v>
      </c>
      <c r="C199" s="3">
        <v>44755</v>
      </c>
      <c r="D199" s="8">
        <v>996.14</v>
      </c>
    </row>
    <row r="200" spans="1:4" x14ac:dyDescent="0.3">
      <c r="A200" s="13" t="s">
        <v>5</v>
      </c>
      <c r="B200" s="14" t="s">
        <v>16</v>
      </c>
      <c r="C200" s="15">
        <v>44918</v>
      </c>
      <c r="D200" s="16">
        <v>615.78</v>
      </c>
    </row>
  </sheetData>
  <mergeCells count="1">
    <mergeCell ref="A1:D1"/>
  </mergeCells>
  <dataValidations count="1">
    <dataValidation type="list" allowBlank="1" showInputMessage="1" showErrorMessage="1" sqref="N47" xr:uid="{00000000-0002-0000-0000-000000000000}">
      <formula1>"sì, no"</formula1>
    </dataValidation>
  </dataValidations>
  <printOptions horizontalCentered="1" verticalCentered="1"/>
  <pageMargins left="0.70866141732283472" right="0.70866141732283472" top="0.74803149606299213" bottom="0.74803149606299213" header="0.31496062992125984" footer="0.31496062992125984"/>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pivot</vt:lpstr>
      <vt:lpstr>dashboard</vt:lpstr>
      <vt:lpstr>22-24</vt:lpstr>
      <vt:lpstr>'22-24'!Criteria</vt:lpstr>
      <vt:lpstr>'22-24'!Extract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2025-03-28T12:18:24Z</dcterms:created>
  <dcterms:modified xsi:type="dcterms:W3CDTF">2026-07-12T22:28:59Z</dcterms:modified>
</cp:coreProperties>
</file>